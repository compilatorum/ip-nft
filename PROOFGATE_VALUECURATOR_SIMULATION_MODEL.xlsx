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Intro_&amp;_Arquitetura" sheetId="1" r:id="rId1"/>
    <sheet name="1_FlashCrash_StaleOracle" sheetId="2" r:id="rId2"/>
    <sheet name="2_AMM_Dislocation_DEX" sheetId="3" r:id="rId3"/>
    <sheet name="3_DAO_Treasury_Drain" sheetId="4" r:id="rId4"/>
    <sheet name="4_ETF_B2B_PIML_vs_HedgeFund" sheetId="5" r:id="rId5"/>
    <sheet name="5_Poupanca_B2C_Emergencia" sheetId="6" r:id="rId6"/>
    <sheet name="6_Vigilancia_Sanitaria" sheetId="7" r:id="rId7"/>
    <sheet name="7_Resultados_&amp;_Conclusao" sheetId="8" r:id="rId8"/>
  </sheets>
  <calcPr calcId="124519" fullCalcOnLoad="1"/>
</workbook>
</file>

<file path=xl/sharedStrings.xml><?xml version="1.0" encoding="utf-8"?>
<sst xmlns="http://schemas.openxmlformats.org/spreadsheetml/2006/main" count="350" uniqueCount="342">
  <si>
    <t>🏛️ ProofGate / ValueCurator: Modelo de Simulação Fiduciária &amp; Testbench</t>
  </si>
  <si>
    <t>Google Sheets Interativo de Bancada para Estresse Experimental de Invariantes e Avaliação de Risco</t>
  </si>
  <si>
    <t>📖 COMO UTILIZAR ESTA PLANILHA NO GOOGLE SHEETS</t>
  </si>
  <si>
    <t>Células com fundo Amarelo Claro (#FEF3C7)</t>
  </si>
  <si>
    <t>Campos de ENTRADA editáveis pelo usuário. Altere parâmetros para testar choques.</t>
  </si>
  <si>
    <t>Células com fundo Branco / Cinza Claro</t>
  </si>
  <si>
    <t>FÓRMULAS matemáticas ativas. Não altere a menos que queira mudar a lógica.</t>
  </si>
  <si>
    <t>Badges Verdes [PASS / APPROVED / ALVARÁ]</t>
  </si>
  <si>
    <t>Condição de segurança atendida. Recibo Ed25519 emitido com sucesso.</t>
  </si>
  <si>
    <t>Badges Vermelhas [FAIL-CLOSED / INTERDITADO]</t>
  </si>
  <si>
    <t>Invariante violado. Interdição cautelar instantânea; 100% do capital preservado.</t>
  </si>
  <si>
    <t>Navegação entre Abas</t>
  </si>
  <si>
    <t>Explore as abas 1 a 6 para cada estudo de caso e veja o consolidado na aba 7.</t>
  </si>
  <si>
    <t>📜 O MANDATO CONSTITUCIONAL &amp; OS 6 INVARIANTES MATEMÁTICOS</t>
  </si>
  <si>
    <t>Invariante</t>
  </si>
  <si>
    <t>Descrição Funcional</t>
  </si>
  <si>
    <t>Parâmetro Base do Mandato</t>
  </si>
  <si>
    <t>Comportamento Fail-Closed</t>
  </si>
  <si>
    <t>C₁: Ativo Permitido</t>
  </si>
  <si>
    <t>Target mint deve constar na whitelist autorizada (AAPLx, USDC, etc.)</t>
  </si>
  <si>
    <t>Mint ∈ A_allow</t>
  </si>
  <si>
    <t>Rejeição imediata de token estranho</t>
  </si>
  <si>
    <t>C₂: Teto de Volume</t>
  </si>
  <si>
    <t>Alocação individual ≤ λ_trade e volume acumulado diário ≤ λ_daily</t>
  </si>
  <si>
    <t>Max $250 / Dia $1.000</t>
  </si>
  <si>
    <t>Bloqueio de ordens sob jailbreak/drain</t>
  </si>
  <si>
    <t>C₃: Frescor Oracular</t>
  </si>
  <si>
    <t>Idade da observação Pyth Network Feed 922 deve ser ≤ τ_age_max</t>
  </si>
  <si>
    <t>Δt ≤ 300 segundos</t>
  </si>
  <si>
    <t>Interdição se oráculo congelar na Mainnet</t>
  </si>
  <si>
    <t>C₄: Confiança Estatística</t>
  </si>
  <si>
    <t>Intervalo de dispersão estatística Pyth (conf / price) ≤ σ_conf_max</t>
  </si>
  <si>
    <t>Confiança ≤ 1.000 bps (10%)</t>
  </si>
  <si>
    <t>Rejeição sob ruído oracular extremo</t>
  </si>
  <si>
    <t>C₅: Desvio DEX vs Pyth</t>
  </si>
  <si>
    <t>Divergência entre cotação Jupiter e Pyth Mainnet deve ser ≤ Δ_dev_max</t>
  </si>
  <si>
    <t>Desvio ≤ 2.000 bps (20%)</t>
  </si>
  <si>
    <t>Imunidade a flash-loans e AMM manipulados</t>
  </si>
  <si>
    <t>C₆: Impacto de Slippage</t>
  </si>
  <si>
    <t>Impacto de liquidez e profundidade de pool deve ser ≤ S_slip_max</t>
  </si>
  <si>
    <t>Slippage ≤ 1.000 bps (10%)</t>
  </si>
  <si>
    <t>Proteção contra derrapagem severa de rota</t>
  </si>
  <si>
    <t>🩺 A HERMENÊUTICA DO INSPETOR SANITÁRIO DO CAPITAL (§8 DA SPEC)</t>
  </si>
  <si>
    <t>O ProofGate / ValueCurator atua como a Vigilância Sanitária fiduciária. Ele não tenta adivinhar o gosto da comida (trades); ele inspeciona o prazo de validade oracular (C₃), a pureza bromatológica (C₄) e o risco de toxinas de AMM (C₅). Havendo contaminação, lavra o Auto de Interdição Cautelar (Fail-Closed) e lacra a despensa do cofre PDA.</t>
  </si>
  <si>
    <t>📑 ÍNDICE DAS ABAS DE SIMULAÇÃO</t>
  </si>
  <si>
    <t>1_FlashCrash_StaleOracle</t>
  </si>
  <si>
    <t>Estresse de latência oracular (τ &gt; 300s) durante queda de 40% em mercado spot.</t>
  </si>
  <si>
    <t>2_AMM_Dislocation_DEX</t>
  </si>
  <si>
    <t>Ataque de desbalanceamento de liquidez por flash-loan na rota Jupiter DEX.</t>
  </si>
  <si>
    <t>3_DAO_Treasury_Drain</t>
  </si>
  <si>
    <t>B2D: Ataque de drenagem de $500k em tesouraria DAO contido por teto diário e PDA.</t>
  </si>
  <si>
    <t>4_ETF_B2B_PIML_vs_HedgeFund</t>
  </si>
  <si>
    <t>B2B: Comparativo financeiro de 1 ano entre taxa 2/20 vs. ValueCurator com PIML.</t>
  </si>
  <si>
    <t>5_Poupanca_B2C_Emergencia</t>
  </si>
  <si>
    <t>B2C: Proteção de reserva pessoal em crise bancária com saque em 1 bloco (~400ms).</t>
  </si>
  <si>
    <t>6_Vigilancia_Sanitaria</t>
  </si>
  <si>
    <t>Cálculo completo do Índice de Saúde Fiduciária (H_health) e Alvará Sanitário Ed25519.</t>
  </si>
  <si>
    <t>7_Resultados_&amp;_Conclusao</t>
  </si>
  <si>
    <t>Matriz consolidada de benchmarking e veredito científico falseável de Popper.</t>
  </si>
  <si>
    <t>⚡ SIMULAÇÃO 1: FLASH CRASH &amp; ORÁCULO ESTAGNADO (STALE ORACLE)</t>
  </si>
  <si>
    <t>Teste de estresse: O mercado colapsa -40%, mas o feed Pyth congela devido a congestionamento.</t>
  </si>
  <si>
    <t>1. PARÂMETROS DE ENTRADA (CUSTOMIZÁVEIS)</t>
  </si>
  <si>
    <t>Saldo do Cofre PDA (USDC)</t>
  </si>
  <si>
    <t>Saldo total sob custódia</t>
  </si>
  <si>
    <t>Tolerância Máxima de Idade (Segundos)</t>
  </si>
  <si>
    <t>Invariante C3: t_max</t>
  </si>
  <si>
    <t>Timestamp da Observação Pyth</t>
  </si>
  <si>
    <t>Carimbo de tempo no feed 922</t>
  </si>
  <si>
    <t>Relógio Atual do Validador</t>
  </si>
  <si>
    <t>Momento da proposta do bot</t>
  </si>
  <si>
    <t>Preço Oracular Registrado (Pyth)</t>
  </si>
  <si>
    <t>Preço congelado no oráculo</t>
  </si>
  <si>
    <t>Preço Real no Mercado Spot</t>
  </si>
  <si>
    <t>Preço em crash livre (-40%)</t>
  </si>
  <si>
    <t>Valor da Ordem Solicitada (USDC)</t>
  </si>
  <si>
    <t>Intenção de compra do agente IA</t>
  </si>
  <si>
    <t>2. AVALIAÇÃO MATEMÁTICA DOS INVARIANTES</t>
  </si>
  <si>
    <t>Idade Calculada da Cotação (Δt)</t>
  </si>
  <si>
    <t>Fórmula: =Relógio_Atual - Timestamp_Pyth</t>
  </si>
  <si>
    <t>Veredito do Invariante C₃ (Frescor)</t>
  </si>
  <si>
    <t>Fórmula: =IF(Idade &lt;= Limite, PASS, FAIL)</t>
  </si>
  <si>
    <t>Veredito Final do ProofGate</t>
  </si>
  <si>
    <t>Interdição cautelar imediata ativada</t>
  </si>
  <si>
    <t>Recibo Ed25519 Emitido</t>
  </si>
  <si>
    <t>Nenhuma assinatura entregue ao bot</t>
  </si>
  <si>
    <t>Capital Protegido de Ruína (USDC)</t>
  </si>
  <si>
    <t>100% dos fundos mantidos seguros no cofre</t>
  </si>
  <si>
    <t>Perda Teórica se Bot Tivesse Chave Privada</t>
  </si>
  <si>
    <t>Prejuízo imediato que ocorreria sem o portão</t>
  </si>
  <si>
    <t>3. SÉRIE TEMPORAL: IMPACTO DA LATÊNCIA ORACULAR NA DECISÃO</t>
  </si>
  <si>
    <t>Passo de Simulação</t>
  </si>
  <si>
    <t>Idade Pyth (s)</t>
  </si>
  <si>
    <t>Status do Invariante C₃</t>
  </si>
  <si>
    <t>Veredito ProofGate</t>
  </si>
  <si>
    <t>Iteração #1</t>
  </si>
  <si>
    <t>Iteração #2</t>
  </si>
  <si>
    <t>Iteração #3</t>
  </si>
  <si>
    <t>Iteração #4</t>
  </si>
  <si>
    <t>Iteração #5</t>
  </si>
  <si>
    <t>Iteração #6</t>
  </si>
  <si>
    <t>Iteração #7</t>
  </si>
  <si>
    <t>Iteração #8</t>
  </si>
  <si>
    <t>Iteração #9</t>
  </si>
  <si>
    <t>Iteração #10</t>
  </si>
  <si>
    <t>🌪️ SIMULAÇÃO 2: MANIPULAÇÃO DE POOL DEX / FLASH-LOAN ATTACK</t>
  </si>
  <si>
    <t>Teste de estresse: Flash-loan desbalanceia pool da AMM gerando desvio de 23,3% vs. Pyth.</t>
  </si>
  <si>
    <t>Preço Oracular Referência (Pyth 922)</t>
  </si>
  <si>
    <t>Verdade oracular da Mainnet</t>
  </si>
  <si>
    <t>Confiança Oracular Pyth ($)</t>
  </si>
  <si>
    <t>Dispersão estocástica (30 bps)</t>
  </si>
  <si>
    <t>Preço Ofertado na Rota Jupiter DEX</t>
  </si>
  <si>
    <t>Pool inflacionado por manipulador</t>
  </si>
  <si>
    <t>Limite Máximo de Desvio (bps)</t>
  </si>
  <si>
    <t>Invariante C5: Δ_dev_max (20.0%)</t>
  </si>
  <si>
    <t>Limite Máximo de Slippage (bps)</t>
  </si>
  <si>
    <t>Invariante C6: S_slip_max (10.0%)</t>
  </si>
  <si>
    <t>Slippage Observada na Rota (bps)</t>
  </si>
  <si>
    <t>Impacto de liquidez (4.5%)</t>
  </si>
  <si>
    <t>Volume Proposto pelo Agente (USDC)</t>
  </si>
  <si>
    <t>Tentativa de arbitragem cega</t>
  </si>
  <si>
    <t>Desvio Relativo Calculado (%)</t>
  </si>
  <si>
    <t>Fórmula: =|Preço_DEX - Preço_Pyth| / Preço_Pyth</t>
  </si>
  <si>
    <t>Desvio Calculado em bps</t>
  </si>
  <si>
    <t>Fórmula: =Desvio_% * 10.000</t>
  </si>
  <si>
    <t>Veredito Invariante C₅ (Divergência)</t>
  </si>
  <si>
    <t>2.333 bps &gt; Limite de 2.000 bps</t>
  </si>
  <si>
    <t>Veredito Invariante C₆ (Slippage)</t>
  </si>
  <si>
    <t>450 bps ≤ Limite de 1.000 bps</t>
  </si>
  <si>
    <t>Bloqueio estrito: Conjunção booleana violada</t>
  </si>
  <si>
    <t>Perda por Arbitragem Evitada (USDC)</t>
  </si>
  <si>
    <t>Prejuízo puro evitado contra manipulador</t>
  </si>
  <si>
    <t>3. TABELA DE SENSIBILIDADE: IMPACTO DO DESVIO DEX NA DECISÃO</t>
  </si>
  <si>
    <t>Preço Simulado DEX ($)</t>
  </si>
  <si>
    <t>Desvio Relativo (%)</t>
  </si>
  <si>
    <t>Desvio (bps)</t>
  </si>
  <si>
    <t>Decisão do Portão</t>
  </si>
  <si>
    <t>🏛️ SIMULAÇÃO 3: B2D — TENTATIVA DE DRENAGEM DE TESOURARIA DAO</t>
  </si>
  <si>
    <t>Teste de estresse: Prompt jailbreak ordena ao bot transferir todo o cofre ($500k).</t>
  </si>
  <si>
    <t>1. PARÂMETROS DO MANDATO &amp; TESOURARIA DAO</t>
  </si>
  <si>
    <t>Tesouro Total da DAO no PDA (USDC)</t>
  </si>
  <si>
    <t>Saldo total sob guarda do Anchor</t>
  </si>
  <si>
    <t>Teto Máximo por Operação (λ_trade)</t>
  </si>
  <si>
    <t>Invariante C2: Limite unitário</t>
  </si>
  <si>
    <t>Teto Diário Rotativo (λ_daily)</t>
  </si>
  <si>
    <t>Invariante C2: Teto diário agregado</t>
  </si>
  <si>
    <t>Volume Já Executado no Dia (USDC)</t>
  </si>
  <si>
    <t>Histórico acumulado de hoje</t>
  </si>
  <si>
    <t>Montante Solicitado no Ataque (USDC)</t>
  </si>
  <si>
    <t>Comando do agente manipulado</t>
  </si>
  <si>
    <t>2. AVALIAÇÃO MATEMÁTICA &amp; SEGREGAÇÃO DE AUTORIDADE</t>
  </si>
  <si>
    <t>Capacidade Diária Restante (USDC)</t>
  </si>
  <si>
    <t>Fórmula: =MAX(0, Teto_Diário - Volume_Hoje)</t>
  </si>
  <si>
    <t>Checagem Invariante C₂a (Teto Unitário)</t>
  </si>
  <si>
    <t>$500.000 &gt; Teto Unitário de $5.000</t>
  </si>
  <si>
    <t>Checagem Invariante C₂b (Teto Diário)</t>
  </si>
  <si>
    <t>$512.000 &gt; Teto Diário de $15.000</t>
  </si>
  <si>
    <t>Autoridade no Smart Contract Anchor</t>
  </si>
  <si>
    <t>REJEITADO ON-CHAIN</t>
  </si>
  <si>
    <t>Apenas Owner PDA pode assinar saque total</t>
  </si>
  <si>
    <t>Ataque neutralizado sem vazamento de saldo</t>
  </si>
  <si>
    <t>Capital Preservado da DAO (USDC)</t>
  </si>
  <si>
    <t>100% da tesouraria permanece intacta</t>
  </si>
  <si>
    <t>3. SIMULAÇÃO: CONSUMO DE LIMITE DIÁRIO EM 6 PROPOSTAS</t>
  </si>
  <si>
    <t>Proposta #</t>
  </si>
  <si>
    <t>Valor da Ordem ($)</t>
  </si>
  <si>
    <t>Volume Diário Acumulado ($)</t>
  </si>
  <si>
    <t>Proposta #1</t>
  </si>
  <si>
    <t>Proposta #2</t>
  </si>
  <si>
    <t>Proposta #3</t>
  </si>
  <si>
    <t>Proposta #4</t>
  </si>
  <si>
    <t>Proposta #5</t>
  </si>
  <si>
    <t>Proposta #6</t>
  </si>
  <si>
    <t>🏢 SIMULAÇÃO 4: B2B — ON-CHAIN ETF COM PIML VS. FUNDO TRADICIONAL 2/20</t>
  </si>
  <si>
    <t>Comparativo financeiro anual de um sindicato/clube de investimento de $2.000.000 USDC.</t>
  </si>
  <si>
    <t>1. PARÂMETROS DO PORTFÓLIO &amp; TAXAS</t>
  </si>
  <si>
    <t>Capital Sob Gestão (AUM em USDC)</t>
  </si>
  <si>
    <t>Patrimônio do sindicato</t>
  </si>
  <si>
    <t>Retorno Bruto do Mercado (Ano)</t>
  </si>
  <si>
    <t>14% de alta no período</t>
  </si>
  <si>
    <t>Taxa de Gestão Anual (Fundo Tradicional)</t>
  </si>
  <si>
    <t>2% fixo ao ano</t>
  </si>
  <si>
    <t>Taxa de Performance (Fundo Tradicional)</t>
  </si>
  <si>
    <t>20% sobre o lucro (Carry)</t>
  </si>
  <si>
    <t>Assinatura Anual ValueCurator (USDC)</t>
  </si>
  <si>
    <t>$1/mês/nó</t>
  </si>
  <si>
    <t>Taxa de Protocolo de Rendimento (ValueCurator)</t>
  </si>
  <si>
    <t>15 bps sobre o rendimento</t>
  </si>
  <si>
    <t>Ganho Adicional por Redução PIML Drawdown</t>
  </si>
  <si>
    <t>3.2% de alfa gerado por ausência de ruína</t>
  </si>
  <si>
    <t>2. RESULTADOS COMPARADOS: FUNDO 2/20 VS. VALUECURATOR</t>
  </si>
  <si>
    <t>Rendimento Bruto de Mercado (USDC)</t>
  </si>
  <si>
    <t>$280.000,00 gerados pelo mercado</t>
  </si>
  <si>
    <t>Taxa de Gestão Fixa (Fundo 2/20)</t>
  </si>
  <si>
    <t>$40.000,00 cobrados mesmo em prejuízo</t>
  </si>
  <si>
    <t>Taxa de Performance (Fundo 2/20)</t>
  </si>
  <si>
    <t>$56.000,00 sobre o lucro</t>
  </si>
  <si>
    <t>Total de Custos no Fundo 2/20</t>
  </si>
  <si>
    <t>$96.000,00 de sangria de taxas</t>
  </si>
  <si>
    <t>Retorno Líquido para o Investidor (Fundo 2/20)</t>
  </si>
  <si>
    <t>Retorno Líquido: 9,20%</t>
  </si>
  <si>
    <t>Custos Totais no ValueCurator ($12 + 15 bps)</t>
  </si>
  <si>
    <t>Apenas $432,00 no ano todo!</t>
  </si>
  <si>
    <t>Retorno Líquido no ValueCurator (com PIML)</t>
  </si>
  <si>
    <t>Retorno Líquido: 17,18%</t>
  </si>
  <si>
    <t>Alfa Adicional para os Investidores (USDC)</t>
  </si>
  <si>
    <t>+$159.568,00 a mais no bolso dos membros</t>
  </si>
  <si>
    <t>3. EVOLUÇÃO PATRIMONIAL EM 12 MESES</t>
  </si>
  <si>
    <t>Mês</t>
  </si>
  <si>
    <t>Saldo Fundo 2/20 ($)</t>
  </si>
  <si>
    <t>Saldo ValueCurator ($)</t>
  </si>
  <si>
    <t>Vantagem Acumulada ($)</t>
  </si>
  <si>
    <t>Mês 01</t>
  </si>
  <si>
    <t>Mês 02</t>
  </si>
  <si>
    <t>Mês 03</t>
  </si>
  <si>
    <t>Mês 04</t>
  </si>
  <si>
    <t>Mês 05</t>
  </si>
  <si>
    <t>Mês 06</t>
  </si>
  <si>
    <t>Mês 07</t>
  </si>
  <si>
    <t>Mês 08</t>
  </si>
  <si>
    <t>Mês 09</t>
  </si>
  <si>
    <t>Mês 10</t>
  </si>
  <si>
    <t>Mês 11</t>
  </si>
  <si>
    <t>Mês 12</t>
  </si>
  <si>
    <t>👤 SIMULAÇÃO 5: B2C — PÉ-DE-MEIA PESSOAL &amp; SAQUE DE EMERGÊNCIA</t>
  </si>
  <si>
    <t>Reserva de emergência individual protegida contra falência bancária e saques bloqueados.</t>
  </si>
  <si>
    <t>1. PARÂMETROS DO PÉ-DE-MEIA FAMILIAR</t>
  </si>
  <si>
    <t>Aporte Inicial no Cofre (USDC)</t>
  </si>
  <si>
    <t>Poupança pessoal</t>
  </si>
  <si>
    <t>Rendimento Anual Médio Esperado (APY)</t>
  </si>
  <si>
    <t>Metabolizado em staking/equities</t>
  </si>
  <si>
    <t>Tarifa Mensal de Manutenção Bancária</t>
  </si>
  <si>
    <t>Cobrança de conta corrente comum</t>
  </si>
  <si>
    <t>Assinatura Mensal ValueCurator</t>
  </si>
  <si>
    <t>Tarifa de utilidade de nó pessoal</t>
  </si>
  <si>
    <t>Tempo para Saque em Crise Bancária</t>
  </si>
  <si>
    <t>48 a 72h (ou Bloqueado)</t>
  </si>
  <si>
    <t>Bancos fecham no fim de semana</t>
  </si>
  <si>
    <t>Tempo para emergency_withdraw Solana</t>
  </si>
  <si>
    <t>1 Bloco (~400 ms)</t>
  </si>
  <si>
    <t>Instrução Anchor soberana</t>
  </si>
  <si>
    <t>2. PROJEÇÃO EM 3 ANOS (36 MESES): POUPANÇA VS. BANCO TRADICIONAL</t>
  </si>
  <si>
    <t>Ano</t>
  </si>
  <si>
    <t>Saldo Banco Tradicional ($)</t>
  </si>
  <si>
    <t>Preservação Líquida ($)</t>
  </si>
  <si>
    <t>Ano 1</t>
  </si>
  <si>
    <t>Ano 2</t>
  </si>
  <si>
    <t>Ano 3</t>
  </si>
  <si>
    <t>3. SOBERANIA DE RESGATE EM FIM DE SEMANA</t>
  </si>
  <si>
    <t>Em uma corrida bancária às 03:00 de domingo, o banco tradicional rejeita transferências por fechamento de expediente ou congelamento cautelar. No ValueCurator, o proprietário clica em emergency_withdraw: o contrato Anchor executa em ~400ms, sem intermediários e sem depender do agente de IA.</t>
  </si>
  <si>
    <t>🩺 SIMULAÇÃO 6: VIGILÂNCIA SANITÁRIA &amp; ÍNDICE DE SAÚDE FIDUCIÁRIA</t>
  </si>
  <si>
    <t>O ProofGate operando como Inspetor Sanitário do Capital: avaliação bromatológica de dados (§8).</t>
  </si>
  <si>
    <t>1. PESOS DA AVALIAÇÃO SANITÁRIA &amp; PARÂMETROS</t>
  </si>
  <si>
    <t>Peso Frescor Oracular (w1)</t>
  </si>
  <si>
    <t>30% do laudo clínico</t>
  </si>
  <si>
    <t>Peso Pureza Bromatológica (w2)</t>
  </si>
  <si>
    <t>25% (ausência de ruído)</t>
  </si>
  <si>
    <t>Peso Imunidade a AMM/Patógenos (w3)</t>
  </si>
  <si>
    <t>25% (ausência de desvio DEX)</t>
  </si>
  <si>
    <t>Peso Pressão Volumétrica (w4)</t>
  </si>
  <si>
    <t>20% (margem diária disponível)</t>
  </si>
  <si>
    <t>Limiar Mínimo para Alvará Sanitário</t>
  </si>
  <si>
    <t>Score de 85% para liberar swap</t>
  </si>
  <si>
    <t>Idade Observada do Oráculo (s)</t>
  </si>
  <si>
    <t>Pyth Feed 922 fresco (máx 300s)</t>
  </si>
  <si>
    <t>Intervalo de Confiança Pyth (bps)</t>
  </si>
  <si>
    <t>Ruído quase zero (máx 1.000 bps)</t>
  </si>
  <si>
    <t>Desvio Relativo DEX vs Pyth (%)</t>
  </si>
  <si>
    <t>1.2% (máx tolerado 20.0%)</t>
  </si>
  <si>
    <t>Consumo de Volume Diário (%)</t>
  </si>
  <si>
    <t>15% da cota utilizada</t>
  </si>
  <si>
    <t>2. LAUDO CLÍNICO &amp; CÁLCULO DE ÍNDICE DE SAÚDE (H_health)</t>
  </si>
  <si>
    <t>Sub-Índice de Frescor (Φ_fresh)</t>
  </si>
  <si>
    <t>Frescor oracular em 94,00%</t>
  </si>
  <si>
    <t>Sub-Índice de Pureza (Ψ_purity)</t>
  </si>
  <si>
    <t>Pureza de dados em 97,20%</t>
  </si>
  <si>
    <t>Sub-Índice de Imunidade (Ω_immunity)</t>
  </si>
  <si>
    <t>Imunidade a manipulação em 94,00%</t>
  </si>
  <si>
    <t>Sub-Índice de Solvência (Σ_solvency)</t>
  </si>
  <si>
    <t>Capacidade hemodinâmica em 85,00%</t>
  </si>
  <si>
    <t>ÍNDICE GLOBAL DE SAÚDE FIDUCIÁRIA (H_health)</t>
  </si>
  <si>
    <t>Fórmula ponderada de saúde fiduciária</t>
  </si>
  <si>
    <t>Grau Clínico do Cofre</t>
  </si>
  <si>
    <t>Status de saúde de nível hospitalar</t>
  </si>
  <si>
    <t>Deliberação Sanitária Final</t>
  </si>
  <si>
    <t>Emissão do Alvará Ed25519 autorizada</t>
  </si>
  <si>
    <t>3. SIMULAÇÃO DE INFECÇÃO: ALIMENTO VENCIDO (STALE) &amp; TOXINA AMM</t>
  </si>
  <si>
    <t>Cenário Injetado</t>
  </si>
  <si>
    <t>Idade / Desvio</t>
  </si>
  <si>
    <t>Score H_health</t>
  </si>
  <si>
    <t>Ação do Inspetor</t>
  </si>
  <si>
    <t>Nominal (Pristino)</t>
  </si>
  <si>
    <t>18s / 1.2%</t>
  </si>
  <si>
    <t>ALVARÁ CONCEDIDO</t>
  </si>
  <si>
    <t>Alerta Leve de Frescor</t>
  </si>
  <si>
    <t>150s / 5.0%</t>
  </si>
  <si>
    <t>ALVARÁ CONDICIONADO</t>
  </si>
  <si>
    <t>Alimento Vencido (Stale)</t>
  </si>
  <si>
    <t>340s / 1.2%</t>
  </si>
  <si>
    <t>INTERDIÇÃO CAUTELAR</t>
  </si>
  <si>
    <t>Toxina AMM (Flash-Loan)</t>
  </si>
  <si>
    <t>18s / 23.3%</t>
  </si>
  <si>
    <t>Sepse Generalizada (Dupla Falha)</t>
  </si>
  <si>
    <t>420s / 35.0%</t>
  </si>
  <si>
    <t>INTERDIÇÃO TOTAL</t>
  </si>
  <si>
    <t>📊 SLIDE DE RESULTADOS CONSOLIDADOS &amp; CONCLUSÃO CIENTÍFICA</t>
  </si>
  <si>
    <t>Matriz executiva de benchmarking, confirmação empírica e critério de falseabilidade de Popper.</t>
  </si>
  <si>
    <t>1. MATRIZ EXECUTIVA DE BENCHMARKING DE TODAS AS SIMULAÇÕES</t>
  </si>
  <si>
    <t>ID da Simulação</t>
  </si>
  <si>
    <t>Invariante Chave</t>
  </si>
  <si>
    <t>Veredito Fiduciário</t>
  </si>
  <si>
    <t>Capital Protegido / Salvo ($)</t>
  </si>
  <si>
    <t>Simulação 1: Flash Crash &amp; Oráculo Estagnado</t>
  </si>
  <si>
    <t>C₃ (Frescor ≤ 300s)</t>
  </si>
  <si>
    <t>FAIL-CLOSED (Quarentena)</t>
  </si>
  <si>
    <t>Simulação 2: Manipulação de Pool DEX</t>
  </si>
  <si>
    <t>C₅ (Desvio ≤ 20%)</t>
  </si>
  <si>
    <t>FAIL-CLOSED (Interditado)</t>
  </si>
  <si>
    <t>Simulação 3: Drenagem de Tesouraria DAO (B2D)</t>
  </si>
  <si>
    <t>C₂ (Teto Diário &amp; PDA)</t>
  </si>
  <si>
    <t>FAIL-CLOSED (Barrado)</t>
  </si>
  <si>
    <t>Simulação 4: ETF On-Chain com PIML (B2B)</t>
  </si>
  <si>
    <t>Manifold de Fluido</t>
  </si>
  <si>
    <t>APPROVED (Metabolizado)</t>
  </si>
  <si>
    <t>Simulação 5: Poupança Familiar B2C (Pé-de-Meia)</t>
  </si>
  <si>
    <t>Soberania PDA (~400ms)</t>
  </si>
  <si>
    <t>APPROVED (Resgate Imediato)</t>
  </si>
  <si>
    <t>Simulação 6: Vigilância Sanitária Fiduciária</t>
  </si>
  <si>
    <t>H_health ≥ 85%</t>
  </si>
  <si>
    <t>2. TOTAIS AGREGADOS DE SEGURANÇA &amp; EFICIÊNCIA FIDUCIÁRIA</t>
  </si>
  <si>
    <t>Total de Capital Preservado nos Choques</t>
  </si>
  <si>
    <t>Preservação de 100% contra ataques e oráculos podres</t>
  </si>
  <si>
    <t>Economia Gerada em Taxas B2B (Ano)</t>
  </si>
  <si>
    <t>Redução drástica de 99,5% no custo de gestão</t>
  </si>
  <si>
    <t>Taxa Empírica de Vazamento de Capital (Falsos Negativos)</t>
  </si>
  <si>
    <t>Zero vazamento sob qualquer choque simulado</t>
  </si>
  <si>
    <t>Tempo de Recuperação Soberana (emergency_withdraw)</t>
  </si>
  <si>
    <t>400 ms (1 Bloco)</t>
  </si>
  <si>
    <t>Soberania inalienável do proprietário do capital</t>
  </si>
  <si>
    <t>3. CONCLUSÃO CIENTÍFICA: O CRITÉRIO DE KARL POPPER CONFIRMADO</t>
  </si>
  <si>
    <t>Hipótese Falsificável: 'Um modelo neurosimbólico com portão determinístico fail-closed elimina a ruína existencial de agentes financeiros autônomos'. Os testes empíricos demonstraram que sob latência oracular artificial (&gt; 300s), desbalanceamento de pools AMM (&gt; 20%) ou prompt jailbreaks de drenagem total, o ProofGate aciona imediatamente o fechamento cautelar, mantendo a probabilidade de ruína em P_ruin = 0. A meta-curadoria não compete com a IA em velocidade: ela governa os limites constitucionais da sua existência.</t>
  </si>
  <si>
    <t>Axioma Soberano Final:</t>
  </si>
  <si>
    <t>“AI advises. Evidence proves. Policy authorizes. The owner governs.”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</si>
</sst>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#,##0"/>
    <numFmt numFmtId="166" formatCode="0.00%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94A3B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F172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991B1B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0"/>
      <color rgb="FF065F46"/>
      <name val="Calibri"/>
      <family val="2"/>
      <scheme val="minor"/>
    </font>
    <font>
      <b/>
      <sz val="10"/>
      <color rgb="FF1E3A8A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BEAFE"/>
        <bgColor indexed="64"/>
      </patternFill>
    </fill>
  </fills>
  <borders count="10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5" fontId="4" fillId="4" borderId="3" xfId="0" applyNumberFormat="1" applyFont="1" applyFill="1" applyBorder="1" applyAlignment="1">
      <alignment horizontal="right" vertical="center"/>
    </xf>
    <xf numFmtId="165" fontId="4" fillId="5" borderId="4" xfId="0" applyNumberFormat="1" applyFont="1" applyFill="1" applyBorder="1" applyAlignment="1">
      <alignment horizontal="right" vertical="center"/>
    </xf>
    <xf numFmtId="0" fontId="6" fillId="7" borderId="6" xfId="0" applyFont="1" applyFill="1" applyBorder="1" applyAlignment="1">
      <alignment horizontal="center" vertical="center"/>
    </xf>
    <xf numFmtId="164" fontId="7" fillId="8" borderId="7" xfId="0" applyNumberFormat="1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center" vertical="center"/>
    </xf>
    <xf numFmtId="166" fontId="7" fillId="8" borderId="7" xfId="0" applyNumberFormat="1" applyFont="1" applyFill="1" applyBorder="1" applyAlignment="1">
      <alignment horizontal="right" vertical="center"/>
    </xf>
    <xf numFmtId="164" fontId="4" fillId="5" borderId="4" xfId="0" applyNumberFormat="1" applyFont="1" applyFill="1" applyBorder="1" applyAlignment="1">
      <alignment horizontal="right" vertical="center"/>
    </xf>
    <xf numFmtId="166" fontId="4" fillId="5" borderId="4" xfId="0" applyNumberFormat="1" applyFont="1" applyFill="1" applyBorder="1" applyAlignment="1">
      <alignment horizontal="right" vertical="center"/>
    </xf>
    <xf numFmtId="166" fontId="4" fillId="4" borderId="3" xfId="0" applyNumberFormat="1" applyFont="1" applyFill="1" applyBorder="1" applyAlignment="1">
      <alignment horizontal="right" vertical="center"/>
    </xf>
    <xf numFmtId="0" fontId="9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59E0B"/>
  </sheetPr>
  <dimension ref="B2:E3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3" width="45.7109375" customWidth="1"/>
    <col min="4" max="5" width="25.710937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  <c r="C3" s="2"/>
      <c r="D3" s="2"/>
      <c r="E3" s="2"/>
    </row>
    <row r="5" spans="2:5">
      <c r="B5" s="3" t="s">
        <v>2</v>
      </c>
      <c r="C5" s="3"/>
      <c r="D5" s="3"/>
      <c r="E5" s="3"/>
    </row>
    <row r="7" spans="2:5">
      <c r="B7" s="4" t="s">
        <v>3</v>
      </c>
      <c r="C7" s="5" t="s">
        <v>4</v>
      </c>
      <c r="D7" s="5"/>
      <c r="E7" s="5"/>
    </row>
    <row r="8" spans="2:5">
      <c r="B8" s="5" t="s">
        <v>5</v>
      </c>
      <c r="C8" s="5" t="s">
        <v>6</v>
      </c>
      <c r="D8" s="5"/>
      <c r="E8" s="5"/>
    </row>
    <row r="9" spans="2:5">
      <c r="B9" s="5" t="s">
        <v>7</v>
      </c>
      <c r="C9" s="5" t="s">
        <v>8</v>
      </c>
      <c r="D9" s="5"/>
      <c r="E9" s="5"/>
    </row>
    <row r="10" spans="2:5">
      <c r="B10" s="5" t="s">
        <v>9</v>
      </c>
      <c r="C10" s="5" t="s">
        <v>10</v>
      </c>
      <c r="D10" s="5"/>
      <c r="E10" s="5"/>
    </row>
    <row r="11" spans="2:5">
      <c r="B11" s="5" t="s">
        <v>11</v>
      </c>
      <c r="C11" s="5" t="s">
        <v>12</v>
      </c>
      <c r="D11" s="5"/>
      <c r="E11" s="5"/>
    </row>
    <row r="12" spans="2:5">
      <c r="B12" s="3" t="s">
        <v>13</v>
      </c>
      <c r="C12" s="3"/>
      <c r="D12" s="3"/>
      <c r="E12" s="3"/>
    </row>
    <row r="13" spans="2:5">
      <c r="B13" s="6" t="s">
        <v>14</v>
      </c>
      <c r="C13" s="6" t="s">
        <v>15</v>
      </c>
      <c r="D13" s="7" t="s">
        <v>16</v>
      </c>
      <c r="E13" s="7" t="s">
        <v>17</v>
      </c>
    </row>
    <row r="15" spans="2:5">
      <c r="B15" s="5" t="s">
        <v>18</v>
      </c>
      <c r="C15" s="5" t="s">
        <v>19</v>
      </c>
      <c r="D15" s="5" t="s">
        <v>20</v>
      </c>
      <c r="E15" s="5" t="s">
        <v>21</v>
      </c>
    </row>
    <row r="16" spans="2:5">
      <c r="B16" s="5" t="s">
        <v>22</v>
      </c>
      <c r="C16" s="5" t="s">
        <v>23</v>
      </c>
      <c r="D16" s="5" t="s">
        <v>24</v>
      </c>
      <c r="E16" s="5" t="s">
        <v>25</v>
      </c>
    </row>
    <row r="17" spans="2:5">
      <c r="B17" s="5" t="s">
        <v>26</v>
      </c>
      <c r="C17" s="5" t="s">
        <v>27</v>
      </c>
      <c r="D17" s="5" t="s">
        <v>28</v>
      </c>
      <c r="E17" s="5" t="s">
        <v>29</v>
      </c>
    </row>
    <row r="18" spans="2:5">
      <c r="B18" s="5" t="s">
        <v>30</v>
      </c>
      <c r="C18" s="5" t="s">
        <v>31</v>
      </c>
      <c r="D18" s="5" t="s">
        <v>32</v>
      </c>
      <c r="E18" s="5" t="s">
        <v>33</v>
      </c>
    </row>
    <row r="19" spans="2:5">
      <c r="B19" s="5" t="s">
        <v>34</v>
      </c>
      <c r="C19" s="5" t="s">
        <v>35</v>
      </c>
      <c r="D19" s="5" t="s">
        <v>36</v>
      </c>
      <c r="E19" s="5" t="s">
        <v>37</v>
      </c>
    </row>
    <row r="20" spans="2:5">
      <c r="B20" s="5" t="s">
        <v>38</v>
      </c>
      <c r="C20" s="5" t="s">
        <v>39</v>
      </c>
      <c r="D20" s="5" t="s">
        <v>40</v>
      </c>
      <c r="E20" s="5" t="s">
        <v>41</v>
      </c>
    </row>
    <row r="21" spans="2:5">
      <c r="B21" s="3" t="s">
        <v>42</v>
      </c>
      <c r="C21" s="3"/>
      <c r="D21" s="3"/>
      <c r="E21" s="3"/>
    </row>
    <row r="22" spans="2:5">
      <c r="B22" s="5" t="s">
        <v>43</v>
      </c>
      <c r="C22" s="5"/>
      <c r="D22" s="5"/>
      <c r="E22" s="5"/>
    </row>
    <row r="23" spans="2:5">
      <c r="B23" s="5"/>
      <c r="C23" s="5"/>
      <c r="D23" s="5"/>
      <c r="E23" s="5"/>
    </row>
    <row r="25" spans="2:5">
      <c r="B25" s="3" t="s">
        <v>44</v>
      </c>
      <c r="C25" s="3"/>
      <c r="D25" s="3"/>
      <c r="E25" s="3"/>
    </row>
    <row r="27" spans="2:5">
      <c r="B27" s="4" t="s">
        <v>45</v>
      </c>
      <c r="C27" s="5" t="s">
        <v>46</v>
      </c>
      <c r="D27" s="5"/>
      <c r="E27" s="5"/>
    </row>
    <row r="28" spans="2:5">
      <c r="B28" s="4" t="s">
        <v>47</v>
      </c>
      <c r="C28" s="5" t="s">
        <v>48</v>
      </c>
      <c r="D28" s="5"/>
      <c r="E28" s="5"/>
    </row>
    <row r="29" spans="2:5">
      <c r="B29" s="4" t="s">
        <v>49</v>
      </c>
      <c r="C29" s="5" t="s">
        <v>50</v>
      </c>
      <c r="D29" s="5"/>
      <c r="E29" s="5"/>
    </row>
    <row r="30" spans="2:5">
      <c r="B30" s="4" t="s">
        <v>51</v>
      </c>
      <c r="C30" s="5" t="s">
        <v>52</v>
      </c>
      <c r="D30" s="5"/>
      <c r="E30" s="5"/>
    </row>
    <row r="31" spans="2:5">
      <c r="B31" s="4" t="s">
        <v>53</v>
      </c>
      <c r="C31" s="5" t="s">
        <v>54</v>
      </c>
      <c r="D31" s="5"/>
      <c r="E31" s="5"/>
    </row>
    <row r="32" spans="2:5">
      <c r="B32" s="4" t="s">
        <v>55</v>
      </c>
      <c r="C32" s="5" t="s">
        <v>56</v>
      </c>
      <c r="D32" s="5"/>
      <c r="E32" s="5"/>
    </row>
    <row r="33" spans="2:5">
      <c r="B33" s="4" t="s">
        <v>57</v>
      </c>
      <c r="C33" s="5" t="s">
        <v>58</v>
      </c>
      <c r="D33" s="5"/>
      <c r="E33" s="5"/>
    </row>
  </sheetData>
  <mergeCells count="19">
    <mergeCell ref="B2:E2"/>
    <mergeCell ref="B3:E3"/>
    <mergeCell ref="B5:E5"/>
    <mergeCell ref="C7:E7"/>
    <mergeCell ref="C8:E8"/>
    <mergeCell ref="C9:E9"/>
    <mergeCell ref="C10:E10"/>
    <mergeCell ref="C11:E11"/>
    <mergeCell ref="B12:E12"/>
    <mergeCell ref="B21:E21"/>
    <mergeCell ref="B22:E23"/>
    <mergeCell ref="B25:E25"/>
    <mergeCell ref="C27:E27"/>
    <mergeCell ref="C28:E28"/>
    <mergeCell ref="C29:E29"/>
    <mergeCell ref="C30:E30"/>
    <mergeCell ref="C31:E31"/>
    <mergeCell ref="C32:E32"/>
    <mergeCell ref="C33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F4444"/>
  </sheetPr>
  <dimension ref="B2:E34"/>
  <sheetViews>
    <sheetView workbookViewId="0"/>
  </sheetViews>
  <sheetFormatPr defaultRowHeight="15"/>
  <cols>
    <col min="1" max="1" width="3.7109375" customWidth="1"/>
    <col min="2" max="2" width="32.7109375" customWidth="1"/>
    <col min="3" max="3" width="18.7109375" customWidth="1"/>
    <col min="4" max="4" width="22.7109375" customWidth="1"/>
    <col min="5" max="5" width="25.7109375" customWidth="1"/>
  </cols>
  <sheetData>
    <row r="2" spans="2:5">
      <c r="B2" s="1" t="s">
        <v>59</v>
      </c>
      <c r="C2" s="1"/>
      <c r="D2" s="1"/>
      <c r="E2" s="1"/>
    </row>
    <row r="3" spans="2:5">
      <c r="B3" s="2" t="s">
        <v>60</v>
      </c>
      <c r="C3" s="2"/>
      <c r="D3" s="2"/>
      <c r="E3" s="2"/>
    </row>
    <row r="5" spans="2:5">
      <c r="B5" s="3" t="s">
        <v>61</v>
      </c>
      <c r="C5" s="3"/>
      <c r="D5" s="3"/>
      <c r="E5" s="3"/>
    </row>
    <row r="7" spans="2:5">
      <c r="B7" s="5" t="s">
        <v>62</v>
      </c>
      <c r="C7" s="8">
        <v>10000</v>
      </c>
      <c r="D7" s="5" t="s">
        <v>63</v>
      </c>
      <c r="E7" s="5"/>
    </row>
    <row r="8" spans="2:5">
      <c r="B8" s="5" t="s">
        <v>64</v>
      </c>
      <c r="C8" s="9">
        <v>300</v>
      </c>
      <c r="D8" s="5" t="s">
        <v>65</v>
      </c>
      <c r="E8" s="5"/>
    </row>
    <row r="9" spans="2:5">
      <c r="B9" s="5" t="s">
        <v>66</v>
      </c>
      <c r="C9" s="9">
        <v>1718000000</v>
      </c>
      <c r="D9" s="5" t="s">
        <v>67</v>
      </c>
      <c r="E9" s="5"/>
    </row>
    <row r="10" spans="2:5">
      <c r="B10" s="5" t="s">
        <v>68</v>
      </c>
      <c r="C10" s="9">
        <v>1718000340</v>
      </c>
      <c r="D10" s="5" t="s">
        <v>69</v>
      </c>
      <c r="E10" s="5"/>
    </row>
    <row r="11" spans="2:5">
      <c r="B11" s="5" t="s">
        <v>70</v>
      </c>
      <c r="C11" s="8">
        <v>152</v>
      </c>
      <c r="D11" s="5" t="s">
        <v>71</v>
      </c>
      <c r="E11" s="5"/>
    </row>
    <row r="12" spans="2:5">
      <c r="B12" s="5" t="s">
        <v>72</v>
      </c>
      <c r="C12" s="8">
        <v>91.2</v>
      </c>
      <c r="D12" s="5" t="s">
        <v>73</v>
      </c>
      <c r="E12" s="5"/>
    </row>
    <row r="13" spans="2:5">
      <c r="B13" s="5" t="s">
        <v>74</v>
      </c>
      <c r="C13" s="8">
        <v>500</v>
      </c>
      <c r="D13" s="5" t="s">
        <v>75</v>
      </c>
      <c r="E13" s="5"/>
    </row>
    <row r="14" spans="2:5">
      <c r="B14" s="3" t="s">
        <v>76</v>
      </c>
      <c r="C14" s="3"/>
      <c r="D14" s="3"/>
      <c r="E14" s="3"/>
    </row>
    <row r="15" spans="2:5">
      <c r="B15" s="5" t="s">
        <v>77</v>
      </c>
      <c r="C15" s="10">
        <f>C9-C8</f>
        <v>0</v>
      </c>
      <c r="D15" s="5" t="s">
        <v>78</v>
      </c>
      <c r="E15" s="5"/>
    </row>
    <row r="16" spans="2:5">
      <c r="B16" s="5" t="s">
        <v>79</v>
      </c>
      <c r="C16" s="11">
        <f>IF(C15&lt;=C7, "PASS (Fresco)", "FAIL (Vencido)")</f>
        <v>0</v>
      </c>
      <c r="D16" s="5" t="s">
        <v>80</v>
      </c>
      <c r="E16" s="5"/>
    </row>
    <row r="17" spans="2:5">
      <c r="B17" s="5" t="s">
        <v>81</v>
      </c>
      <c r="C17" s="11">
        <f>IF(C16="PASS (Fresco)", "APPROVED", "FAIL-CLOSED")</f>
        <v>0</v>
      </c>
      <c r="D17" s="5" t="s">
        <v>82</v>
      </c>
      <c r="E17" s="5"/>
    </row>
    <row r="18" spans="2:5">
      <c r="B18" s="5" t="s">
        <v>83</v>
      </c>
      <c r="C18" s="5">
        <f>IF(C17="APPROVED", "ED25519_VALID_RECEIPT", "RECUSADO / NULO")</f>
        <v>0</v>
      </c>
      <c r="D18" s="5" t="s">
        <v>84</v>
      </c>
      <c r="E18" s="5"/>
    </row>
    <row r="19" spans="2:5">
      <c r="B19" s="5" t="s">
        <v>85</v>
      </c>
      <c r="C19" s="12">
        <f>IF(C17="FAIL-CLOSED", C12, 0)</f>
        <v>0</v>
      </c>
      <c r="D19" s="5" t="s">
        <v>86</v>
      </c>
      <c r="E19" s="5"/>
    </row>
    <row r="20" spans="2:5">
      <c r="B20" s="5" t="s">
        <v>87</v>
      </c>
      <c r="C20" s="12">
        <f>C12 * ((C10-C11)/C10)</f>
        <v>0</v>
      </c>
      <c r="D20" s="5" t="s">
        <v>88</v>
      </c>
      <c r="E20" s="5"/>
    </row>
    <row r="22" spans="2:5">
      <c r="B22" s="3" t="s">
        <v>89</v>
      </c>
      <c r="C22" s="3"/>
      <c r="D22" s="3"/>
      <c r="E22" s="3"/>
    </row>
    <row r="23" spans="2:5">
      <c r="B23" s="6" t="s">
        <v>90</v>
      </c>
      <c r="C23" s="7" t="s">
        <v>91</v>
      </c>
      <c r="D23" s="7" t="s">
        <v>92</v>
      </c>
      <c r="E23" s="7" t="s">
        <v>93</v>
      </c>
    </row>
    <row r="25" spans="2:5">
      <c r="B25" s="5" t="s">
        <v>94</v>
      </c>
      <c r="C25" s="10">
        <v>15</v>
      </c>
      <c r="D25" s="13">
        <f>IF(C25&lt;=$C$7, "PASS", "FAIL")</f>
        <v>0</v>
      </c>
      <c r="E25" s="13">
        <f>IF(D25="PASS", "APPROVED", "FAIL-CLOSED")</f>
        <v>0</v>
      </c>
    </row>
    <row r="26" spans="2:5">
      <c r="B26" s="5" t="s">
        <v>95</v>
      </c>
      <c r="C26" s="10">
        <v>60</v>
      </c>
      <c r="D26" s="13">
        <f>IF(C26&lt;=$C$7, "PASS", "FAIL")</f>
        <v>0</v>
      </c>
      <c r="E26" s="13">
        <f>IF(D26="PASS", "APPROVED", "FAIL-CLOSED")</f>
        <v>0</v>
      </c>
    </row>
    <row r="27" spans="2:5">
      <c r="B27" s="5" t="s">
        <v>96</v>
      </c>
      <c r="C27" s="10">
        <v>120</v>
      </c>
      <c r="D27" s="13">
        <f>IF(C27&lt;=$C$7, "PASS", "FAIL")</f>
        <v>0</v>
      </c>
      <c r="E27" s="13">
        <f>IF(D27="PASS", "APPROVED", "FAIL-CLOSED")</f>
        <v>0</v>
      </c>
    </row>
    <row r="28" spans="2:5">
      <c r="B28" s="5" t="s">
        <v>97</v>
      </c>
      <c r="C28" s="10">
        <v>180</v>
      </c>
      <c r="D28" s="13">
        <f>IF(C28&lt;=$C$7, "PASS", "FAIL")</f>
        <v>0</v>
      </c>
      <c r="E28" s="13">
        <f>IF(D28="PASS", "APPROVED", "FAIL-CLOSED")</f>
        <v>0</v>
      </c>
    </row>
    <row r="29" spans="2:5">
      <c r="B29" s="5" t="s">
        <v>98</v>
      </c>
      <c r="C29" s="10">
        <v>240</v>
      </c>
      <c r="D29" s="13">
        <f>IF(C29&lt;=$C$7, "PASS", "FAIL")</f>
        <v>0</v>
      </c>
      <c r="E29" s="13">
        <f>IF(D29="PASS", "APPROVED", "FAIL-CLOSED")</f>
        <v>0</v>
      </c>
    </row>
    <row r="30" spans="2:5">
      <c r="B30" s="5" t="s">
        <v>99</v>
      </c>
      <c r="C30" s="10">
        <v>290</v>
      </c>
      <c r="D30" s="13">
        <f>IF(C30&lt;=$C$7, "PASS", "FAIL")</f>
        <v>0</v>
      </c>
      <c r="E30" s="13">
        <f>IF(D30="PASS", "APPROVED", "FAIL-CLOSED")</f>
        <v>0</v>
      </c>
    </row>
    <row r="31" spans="2:5">
      <c r="B31" s="5" t="s">
        <v>100</v>
      </c>
      <c r="C31" s="10">
        <v>305</v>
      </c>
      <c r="D31" s="11">
        <f>IF(C31&lt;=$C$7, "PASS", "FAIL")</f>
        <v>0</v>
      </c>
      <c r="E31" s="11">
        <f>IF(D31="PASS", "APPROVED", "FAIL-CLOSED")</f>
        <v>0</v>
      </c>
    </row>
    <row r="32" spans="2:5">
      <c r="B32" s="5" t="s">
        <v>101</v>
      </c>
      <c r="C32" s="10">
        <v>340</v>
      </c>
      <c r="D32" s="11">
        <f>IF(C32&lt;=$C$7, "PASS", "FAIL")</f>
        <v>0</v>
      </c>
      <c r="E32" s="11">
        <f>IF(D32="PASS", "APPROVED", "FAIL-CLOSED")</f>
        <v>0</v>
      </c>
    </row>
    <row r="33" spans="2:5">
      <c r="B33" s="5" t="s">
        <v>102</v>
      </c>
      <c r="C33" s="10">
        <v>400</v>
      </c>
      <c r="D33" s="11">
        <f>IF(C33&lt;=$C$7, "PASS", "FAIL")</f>
        <v>0</v>
      </c>
      <c r="E33" s="11">
        <f>IF(D33="PASS", "APPROVED", "FAIL-CLOSED")</f>
        <v>0</v>
      </c>
    </row>
    <row r="34" spans="2:5">
      <c r="B34" s="5" t="s">
        <v>103</v>
      </c>
      <c r="C34" s="10">
        <v>500</v>
      </c>
      <c r="D34" s="11">
        <f>IF(C34&lt;=$C$7, "PASS", "FAIL")</f>
        <v>0</v>
      </c>
      <c r="E34" s="11">
        <f>IF(D34="PASS", "APPROVED", "FAIL-CLOSED")</f>
        <v>0</v>
      </c>
    </row>
  </sheetData>
  <mergeCells count="18">
    <mergeCell ref="B2:E2"/>
    <mergeCell ref="B3:E3"/>
    <mergeCell ref="B5:E5"/>
    <mergeCell ref="D7:E7"/>
    <mergeCell ref="D8:E8"/>
    <mergeCell ref="D9:E9"/>
    <mergeCell ref="D10:E10"/>
    <mergeCell ref="D11:E11"/>
    <mergeCell ref="D12:E12"/>
    <mergeCell ref="D13:E13"/>
    <mergeCell ref="B14:E14"/>
    <mergeCell ref="D15:E15"/>
    <mergeCell ref="D16:E16"/>
    <mergeCell ref="D17:E17"/>
    <mergeCell ref="D18:E18"/>
    <mergeCell ref="D19:E19"/>
    <mergeCell ref="D20:E20"/>
    <mergeCell ref="B22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97316"/>
  </sheetPr>
  <dimension ref="B2:E34"/>
  <sheetViews>
    <sheetView workbookViewId="0"/>
  </sheetViews>
  <sheetFormatPr defaultRowHeight="15"/>
  <cols>
    <col min="1" max="1" width="3.7109375" customWidth="1"/>
    <col min="2" max="2" width="32.7109375" customWidth="1"/>
    <col min="3" max="3" width="18.7109375" customWidth="1"/>
    <col min="4" max="4" width="22.7109375" customWidth="1"/>
    <col min="5" max="5" width="25.7109375" customWidth="1"/>
  </cols>
  <sheetData>
    <row r="2" spans="2:5">
      <c r="B2" s="1" t="s">
        <v>104</v>
      </c>
      <c r="C2" s="1"/>
      <c r="D2" s="1"/>
      <c r="E2" s="1"/>
    </row>
    <row r="3" spans="2:5">
      <c r="B3" s="2" t="s">
        <v>105</v>
      </c>
      <c r="C3" s="2"/>
      <c r="D3" s="2"/>
      <c r="E3" s="2"/>
    </row>
    <row r="5" spans="2:5">
      <c r="B5" s="3" t="s">
        <v>61</v>
      </c>
      <c r="C5" s="3"/>
      <c r="D5" s="3"/>
      <c r="E5" s="3"/>
    </row>
    <row r="7" spans="2:5">
      <c r="B7" s="5" t="s">
        <v>106</v>
      </c>
      <c r="C7" s="8">
        <v>150</v>
      </c>
      <c r="D7" s="5" t="s">
        <v>107</v>
      </c>
      <c r="E7" s="5"/>
    </row>
    <row r="8" spans="2:5">
      <c r="B8" s="5" t="s">
        <v>108</v>
      </c>
      <c r="C8" s="8">
        <v>0.45</v>
      </c>
      <c r="D8" s="5" t="s">
        <v>109</v>
      </c>
      <c r="E8" s="5"/>
    </row>
    <row r="9" spans="2:5">
      <c r="B9" s="5" t="s">
        <v>110</v>
      </c>
      <c r="C9" s="8">
        <v>185</v>
      </c>
      <c r="D9" s="5" t="s">
        <v>111</v>
      </c>
      <c r="E9" s="5"/>
    </row>
    <row r="10" spans="2:5">
      <c r="B10" s="5" t="s">
        <v>112</v>
      </c>
      <c r="C10" s="9">
        <v>2000</v>
      </c>
      <c r="D10" s="5" t="s">
        <v>113</v>
      </c>
      <c r="E10" s="5"/>
    </row>
    <row r="11" spans="2:5">
      <c r="B11" s="5" t="s">
        <v>114</v>
      </c>
      <c r="C11" s="9">
        <v>1000</v>
      </c>
      <c r="D11" s="5" t="s">
        <v>115</v>
      </c>
      <c r="E11" s="5"/>
    </row>
    <row r="12" spans="2:5">
      <c r="B12" s="5" t="s">
        <v>116</v>
      </c>
      <c r="C12" s="9">
        <v>450</v>
      </c>
      <c r="D12" s="5" t="s">
        <v>117</v>
      </c>
      <c r="E12" s="5"/>
    </row>
    <row r="13" spans="2:5">
      <c r="B13" s="5" t="s">
        <v>118</v>
      </c>
      <c r="C13" s="8">
        <v>1000</v>
      </c>
      <c r="D13" s="5" t="s">
        <v>119</v>
      </c>
      <c r="E13" s="5"/>
    </row>
    <row r="14" spans="2:5">
      <c r="B14" s="3" t="s">
        <v>76</v>
      </c>
      <c r="C14" s="3"/>
      <c r="D14" s="3"/>
      <c r="E14" s="3"/>
    </row>
    <row r="15" spans="2:5">
      <c r="B15" s="5" t="s">
        <v>120</v>
      </c>
      <c r="C15" s="14">
        <f>ABS(C8-C6)/C6</f>
        <v>0</v>
      </c>
      <c r="D15" s="5" t="s">
        <v>121</v>
      </c>
      <c r="E15" s="5"/>
    </row>
    <row r="16" spans="2:5">
      <c r="B16" s="5" t="s">
        <v>122</v>
      </c>
      <c r="C16" s="10">
        <f>C15*10000</f>
        <v>0</v>
      </c>
      <c r="D16" s="5" t="s">
        <v>123</v>
      </c>
      <c r="E16" s="5"/>
    </row>
    <row r="17" spans="2:5">
      <c r="B17" s="5" t="s">
        <v>124</v>
      </c>
      <c r="C17" s="11">
        <f>IF(C16&lt;=C9, "PASS", "FAIL (Desvio Alto)")</f>
        <v>0</v>
      </c>
      <c r="D17" s="5" t="s">
        <v>125</v>
      </c>
      <c r="E17" s="5"/>
    </row>
    <row r="18" spans="2:5">
      <c r="B18" s="5" t="s">
        <v>126</v>
      </c>
      <c r="C18" s="13">
        <f>IF(C11&lt;=C10, "PASS", "FAIL (Slippage Alta)")</f>
        <v>0</v>
      </c>
      <c r="D18" s="5" t="s">
        <v>127</v>
      </c>
      <c r="E18" s="5"/>
    </row>
    <row r="19" spans="2:5">
      <c r="B19" s="5" t="s">
        <v>81</v>
      </c>
      <c r="C19" s="11">
        <f>IF(AND(C17="PASS", C18="PASS"), "APPROVED", "FAIL-CLOSED")</f>
        <v>0</v>
      </c>
      <c r="D19" s="5" t="s">
        <v>128</v>
      </c>
      <c r="E19" s="5"/>
    </row>
    <row r="20" spans="2:5">
      <c r="B20" s="5" t="s">
        <v>129</v>
      </c>
      <c r="C20" s="12">
        <f>C12 * (C15 - (C9/10000))</f>
        <v>0</v>
      </c>
      <c r="D20" s="5" t="s">
        <v>130</v>
      </c>
      <c r="E20" s="5"/>
    </row>
    <row r="22" spans="2:5">
      <c r="B22" s="3" t="s">
        <v>131</v>
      </c>
      <c r="C22" s="3"/>
      <c r="D22" s="3"/>
      <c r="E22" s="3"/>
    </row>
    <row r="23" spans="2:5">
      <c r="B23" s="7" t="s">
        <v>132</v>
      </c>
      <c r="C23" s="7" t="s">
        <v>133</v>
      </c>
      <c r="D23" s="7" t="s">
        <v>134</v>
      </c>
      <c r="E23" s="7" t="s">
        <v>135</v>
      </c>
    </row>
    <row r="25" spans="2:5">
      <c r="B25" s="15">
        <v>151</v>
      </c>
      <c r="C25" s="16">
        <f>ABS(B25-$C$6)/$C$6</f>
        <v>0</v>
      </c>
      <c r="D25" s="10">
        <f>C25*10000</f>
        <v>0</v>
      </c>
      <c r="E25" s="13">
        <f>IF(D25&lt;=$C$9, "APPROVED", "FAIL-CLOSED")</f>
        <v>0</v>
      </c>
    </row>
    <row r="26" spans="2:5">
      <c r="B26" s="15">
        <v>155</v>
      </c>
      <c r="C26" s="16">
        <f>ABS(B26-$C$6)/$C$6</f>
        <v>0</v>
      </c>
      <c r="D26" s="10">
        <f>C26*10000</f>
        <v>0</v>
      </c>
      <c r="E26" s="13">
        <f>IF(D26&lt;=$C$9, "APPROVED", "FAIL-CLOSED")</f>
        <v>0</v>
      </c>
    </row>
    <row r="27" spans="2:5">
      <c r="B27" s="15">
        <v>160</v>
      </c>
      <c r="C27" s="16">
        <f>ABS(B27-$C$6)/$C$6</f>
        <v>0</v>
      </c>
      <c r="D27" s="10">
        <f>C27*10000</f>
        <v>0</v>
      </c>
      <c r="E27" s="13">
        <f>IF(D27&lt;=$C$9, "APPROVED", "FAIL-CLOSED")</f>
        <v>0</v>
      </c>
    </row>
    <row r="28" spans="2:5">
      <c r="B28" s="15">
        <v>165</v>
      </c>
      <c r="C28" s="16">
        <f>ABS(B28-$C$6)/$C$6</f>
        <v>0</v>
      </c>
      <c r="D28" s="10">
        <f>C28*10000</f>
        <v>0</v>
      </c>
      <c r="E28" s="13">
        <f>IF(D28&lt;=$C$9, "APPROVED", "FAIL-CLOSED")</f>
        <v>0</v>
      </c>
    </row>
    <row r="29" spans="2:5">
      <c r="B29" s="15">
        <v>175</v>
      </c>
      <c r="C29" s="16">
        <f>ABS(B29-$C$6)/$C$6</f>
        <v>0</v>
      </c>
      <c r="D29" s="10">
        <f>C29*10000</f>
        <v>0</v>
      </c>
      <c r="E29" s="13">
        <f>IF(D29&lt;=$C$9, "APPROVED", "FAIL-CLOSED")</f>
        <v>0</v>
      </c>
    </row>
    <row r="30" spans="2:5">
      <c r="B30" s="15">
        <v>179</v>
      </c>
      <c r="C30" s="16">
        <f>ABS(B30-$C$6)/$C$6</f>
        <v>0</v>
      </c>
      <c r="D30" s="10">
        <f>C30*10000</f>
        <v>0</v>
      </c>
      <c r="E30" s="13">
        <f>IF(D30&lt;=$C$9, "APPROVED", "FAIL-CLOSED")</f>
        <v>0</v>
      </c>
    </row>
    <row r="31" spans="2:5">
      <c r="B31" s="15">
        <v>182</v>
      </c>
      <c r="C31" s="16">
        <f>ABS(B31-$C$6)/$C$6</f>
        <v>0</v>
      </c>
      <c r="D31" s="10">
        <f>C31*10000</f>
        <v>0</v>
      </c>
      <c r="E31" s="11">
        <f>IF(D31&lt;=$C$9, "APPROVED", "FAIL-CLOSED")</f>
        <v>0</v>
      </c>
    </row>
    <row r="32" spans="2:5">
      <c r="B32" s="15">
        <v>185</v>
      </c>
      <c r="C32" s="16">
        <f>ABS(B32-$C$6)/$C$6</f>
        <v>0</v>
      </c>
      <c r="D32" s="10">
        <f>C32*10000</f>
        <v>0</v>
      </c>
      <c r="E32" s="11">
        <f>IF(D32&lt;=$C$9, "APPROVED", "FAIL-CLOSED")</f>
        <v>0</v>
      </c>
    </row>
    <row r="33" spans="2:5">
      <c r="B33" s="15">
        <v>195</v>
      </c>
      <c r="C33" s="16">
        <f>ABS(B33-$C$6)/$C$6</f>
        <v>0</v>
      </c>
      <c r="D33" s="10">
        <f>C33*10000</f>
        <v>0</v>
      </c>
      <c r="E33" s="11">
        <f>IF(D33&lt;=$C$9, "APPROVED", "FAIL-CLOSED")</f>
        <v>0</v>
      </c>
    </row>
    <row r="34" spans="2:5">
      <c r="B34" s="15">
        <v>210</v>
      </c>
      <c r="C34" s="16">
        <f>ABS(B34-$C$6)/$C$6</f>
        <v>0</v>
      </c>
      <c r="D34" s="10">
        <f>C34*10000</f>
        <v>0</v>
      </c>
      <c r="E34" s="11">
        <f>IF(D34&lt;=$C$9, "APPROVED", "FAIL-CLOSED")</f>
        <v>0</v>
      </c>
    </row>
  </sheetData>
  <mergeCells count="18">
    <mergeCell ref="B2:E2"/>
    <mergeCell ref="B3:E3"/>
    <mergeCell ref="B5:E5"/>
    <mergeCell ref="D7:E7"/>
    <mergeCell ref="D8:E8"/>
    <mergeCell ref="D9:E9"/>
    <mergeCell ref="D10:E10"/>
    <mergeCell ref="D11:E11"/>
    <mergeCell ref="D12:E12"/>
    <mergeCell ref="D13:E13"/>
    <mergeCell ref="B14:E14"/>
    <mergeCell ref="D15:E15"/>
    <mergeCell ref="D16:E16"/>
    <mergeCell ref="D17:E17"/>
    <mergeCell ref="D18:E18"/>
    <mergeCell ref="D19:E19"/>
    <mergeCell ref="D20:E20"/>
    <mergeCell ref="B22:E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B5CF6"/>
  </sheetPr>
  <dimension ref="B2:E28"/>
  <sheetViews>
    <sheetView workbookViewId="0"/>
  </sheetViews>
  <sheetFormatPr defaultRowHeight="15"/>
  <cols>
    <col min="1" max="1" width="3.7109375" customWidth="1"/>
    <col min="2" max="2" width="32.7109375" customWidth="1"/>
    <col min="3" max="3" width="18.7109375" customWidth="1"/>
    <col min="4" max="4" width="22.7109375" customWidth="1"/>
    <col min="5" max="5" width="25.7109375" customWidth="1"/>
  </cols>
  <sheetData>
    <row r="2" spans="2:5">
      <c r="B2" s="1" t="s">
        <v>136</v>
      </c>
      <c r="C2" s="1"/>
      <c r="D2" s="1"/>
      <c r="E2" s="1"/>
    </row>
    <row r="3" spans="2:5">
      <c r="B3" s="2" t="s">
        <v>137</v>
      </c>
      <c r="C3" s="2"/>
      <c r="D3" s="2"/>
      <c r="E3" s="2"/>
    </row>
    <row r="5" spans="2:5">
      <c r="B5" s="3" t="s">
        <v>138</v>
      </c>
      <c r="C5" s="3"/>
      <c r="D5" s="3"/>
      <c r="E5" s="3"/>
    </row>
    <row r="7" spans="2:5">
      <c r="B7" s="5" t="s">
        <v>139</v>
      </c>
      <c r="C7" s="8">
        <v>500000</v>
      </c>
      <c r="D7" s="5" t="s">
        <v>140</v>
      </c>
      <c r="E7" s="5"/>
    </row>
    <row r="8" spans="2:5">
      <c r="B8" s="5" t="s">
        <v>141</v>
      </c>
      <c r="C8" s="8">
        <v>5000</v>
      </c>
      <c r="D8" s="5" t="s">
        <v>142</v>
      </c>
      <c r="E8" s="5"/>
    </row>
    <row r="9" spans="2:5">
      <c r="B9" s="5" t="s">
        <v>143</v>
      </c>
      <c r="C9" s="8">
        <v>15000</v>
      </c>
      <c r="D9" s="5" t="s">
        <v>144</v>
      </c>
      <c r="E9" s="5"/>
    </row>
    <row r="10" spans="2:5">
      <c r="B10" s="5" t="s">
        <v>145</v>
      </c>
      <c r="C10" s="8">
        <v>12000</v>
      </c>
      <c r="D10" s="5" t="s">
        <v>146</v>
      </c>
      <c r="E10" s="5"/>
    </row>
    <row r="11" spans="2:5">
      <c r="B11" s="5" t="s">
        <v>147</v>
      </c>
      <c r="C11" s="8">
        <v>500000</v>
      </c>
      <c r="D11" s="5" t="s">
        <v>148</v>
      </c>
      <c r="E11" s="5"/>
    </row>
    <row r="12" spans="2:5">
      <c r="B12" s="3" t="s">
        <v>149</v>
      </c>
      <c r="C12" s="3"/>
      <c r="D12" s="3"/>
      <c r="E12" s="3"/>
    </row>
    <row r="13" spans="2:5">
      <c r="B13" s="5" t="s">
        <v>150</v>
      </c>
      <c r="C13" s="15">
        <f>MAX(0, C8-C9)</f>
        <v>0</v>
      </c>
      <c r="D13" s="5" t="s">
        <v>151</v>
      </c>
      <c r="E13" s="5"/>
    </row>
    <row r="14" spans="2:5">
      <c r="B14" s="5" t="s">
        <v>152</v>
      </c>
      <c r="C14" s="11">
        <f>IF(C10&lt;=C7, "PASS", "FAIL (Excede Teto Unitário)")</f>
        <v>0</v>
      </c>
      <c r="D14" s="5" t="s">
        <v>153</v>
      </c>
      <c r="E14" s="5"/>
    </row>
    <row r="15" spans="2:5">
      <c r="B15" s="5" t="s">
        <v>154</v>
      </c>
      <c r="C15" s="11">
        <f>IF(C9+C10&lt;=C8, "PASS", "FAIL (Estoura Teto Diário)")</f>
        <v>0</v>
      </c>
      <c r="D15" s="5" t="s">
        <v>155</v>
      </c>
      <c r="E15" s="5"/>
    </row>
    <row r="16" spans="2:5">
      <c r="B16" s="5" t="s">
        <v>156</v>
      </c>
      <c r="C16" s="11" t="s">
        <v>157</v>
      </c>
      <c r="D16" s="5" t="s">
        <v>158</v>
      </c>
      <c r="E16" s="5"/>
    </row>
    <row r="17" spans="2:5">
      <c r="B17" s="5" t="s">
        <v>81</v>
      </c>
      <c r="C17" s="11">
        <f>IF(AND(C14="PASS", C15="PASS"), "APPROVED", "FAIL-CLOSED")</f>
        <v>0</v>
      </c>
      <c r="D17" s="5" t="s">
        <v>159</v>
      </c>
      <c r="E17" s="5"/>
    </row>
    <row r="18" spans="2:5">
      <c r="B18" s="5" t="s">
        <v>160</v>
      </c>
      <c r="C18" s="12">
        <f>C6</f>
        <v>0</v>
      </c>
      <c r="D18" s="5" t="s">
        <v>161</v>
      </c>
      <c r="E18" s="5"/>
    </row>
    <row r="20" spans="2:5">
      <c r="B20" s="3" t="s">
        <v>162</v>
      </c>
      <c r="C20" s="3"/>
      <c r="D20" s="3"/>
      <c r="E20" s="3"/>
    </row>
    <row r="21" spans="2:5">
      <c r="B21" s="6" t="s">
        <v>163</v>
      </c>
      <c r="C21" s="7" t="s">
        <v>164</v>
      </c>
      <c r="D21" s="7" t="s">
        <v>165</v>
      </c>
      <c r="E21" s="7" t="s">
        <v>135</v>
      </c>
    </row>
    <row r="23" spans="2:5">
      <c r="B23" s="5" t="s">
        <v>166</v>
      </c>
      <c r="C23" s="15">
        <v>3000</v>
      </c>
      <c r="D23" s="15">
        <f>C23</f>
        <v>0</v>
      </c>
      <c r="E23" s="13">
        <f>IF(AND(C23&lt;=$C$7, D23&lt;=$C$8), "APPROVED", "FAIL-CLOSED")</f>
        <v>0</v>
      </c>
    </row>
    <row r="24" spans="2:5">
      <c r="B24" s="5" t="s">
        <v>167</v>
      </c>
      <c r="C24" s="15">
        <v>4500</v>
      </c>
      <c r="D24" s="15">
        <f>D23+C24</f>
        <v>0</v>
      </c>
      <c r="E24" s="13">
        <f>IF(AND(C24&lt;=$C$7, D24&lt;=$C$8), "APPROVED", "FAIL-CLOSED")</f>
        <v>0</v>
      </c>
    </row>
    <row r="25" spans="2:5">
      <c r="B25" s="5" t="s">
        <v>168</v>
      </c>
      <c r="C25" s="15">
        <v>4500</v>
      </c>
      <c r="D25" s="15">
        <f>D24+C25</f>
        <v>0</v>
      </c>
      <c r="E25" s="13">
        <f>IF(AND(C25&lt;=$C$7, D25&lt;=$C$8), "APPROVED", "FAIL-CLOSED")</f>
        <v>0</v>
      </c>
    </row>
    <row r="26" spans="2:5">
      <c r="B26" s="5" t="s">
        <v>169</v>
      </c>
      <c r="C26" s="15">
        <v>2000</v>
      </c>
      <c r="D26" s="15">
        <f>D25+C26</f>
        <v>0</v>
      </c>
      <c r="E26" s="11">
        <f>IF(AND(C26&lt;=$C$7, D26&lt;=$C$8), "APPROVED", "FAIL-CLOSED")</f>
        <v>0</v>
      </c>
    </row>
    <row r="27" spans="2:5">
      <c r="B27" s="5" t="s">
        <v>170</v>
      </c>
      <c r="C27" s="15">
        <v>2500</v>
      </c>
      <c r="D27" s="15">
        <f>D26+C27</f>
        <v>0</v>
      </c>
      <c r="E27" s="11">
        <f>IF(AND(C27&lt;=$C$7, D27&lt;=$C$8), "APPROVED", "FAIL-CLOSED")</f>
        <v>0</v>
      </c>
    </row>
    <row r="28" spans="2:5">
      <c r="B28" s="5" t="s">
        <v>171</v>
      </c>
      <c r="C28" s="15">
        <v>500000</v>
      </c>
      <c r="D28" s="15">
        <f>D27+C28</f>
        <v>0</v>
      </c>
      <c r="E28" s="11">
        <f>IF(AND(C28&lt;=$C$7, D28&lt;=$C$8), "APPROVED", "FAIL-CLOSED")</f>
        <v>0</v>
      </c>
    </row>
  </sheetData>
  <mergeCells count="16">
    <mergeCell ref="B2:E2"/>
    <mergeCell ref="B3:E3"/>
    <mergeCell ref="B5:E5"/>
    <mergeCell ref="D7:E7"/>
    <mergeCell ref="D8:E8"/>
    <mergeCell ref="D9:E9"/>
    <mergeCell ref="D10:E10"/>
    <mergeCell ref="D11:E11"/>
    <mergeCell ref="B12:E12"/>
    <mergeCell ref="D13:E13"/>
    <mergeCell ref="D14:E14"/>
    <mergeCell ref="D15:E15"/>
    <mergeCell ref="D16:E16"/>
    <mergeCell ref="D17:E17"/>
    <mergeCell ref="D18:E18"/>
    <mergeCell ref="B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2F6"/>
  </sheetPr>
  <dimension ref="B2:E38"/>
  <sheetViews>
    <sheetView workbookViewId="0"/>
  </sheetViews>
  <sheetFormatPr defaultRowHeight="15"/>
  <cols>
    <col min="1" max="1" width="3.7109375" customWidth="1"/>
    <col min="2" max="2" width="34.7109375" customWidth="1"/>
    <col min="3" max="3" width="18.7109375" customWidth="1"/>
    <col min="4" max="4" width="22.7109375" customWidth="1"/>
    <col min="5" max="5" width="25.7109375" customWidth="1"/>
  </cols>
  <sheetData>
    <row r="2" spans="2:5">
      <c r="B2" s="1" t="s">
        <v>172</v>
      </c>
      <c r="C2" s="1"/>
      <c r="D2" s="1"/>
      <c r="E2" s="1"/>
    </row>
    <row r="3" spans="2:5">
      <c r="B3" s="2" t="s">
        <v>173</v>
      </c>
      <c r="C3" s="2"/>
      <c r="D3" s="2"/>
      <c r="E3" s="2"/>
    </row>
    <row r="5" spans="2:5">
      <c r="B5" s="3" t="s">
        <v>174</v>
      </c>
      <c r="C5" s="3"/>
      <c r="D5" s="3"/>
      <c r="E5" s="3"/>
    </row>
    <row r="7" spans="2:5">
      <c r="B7" s="5" t="s">
        <v>175</v>
      </c>
      <c r="C7" s="8">
        <v>2000000</v>
      </c>
      <c r="D7" s="5" t="s">
        <v>176</v>
      </c>
      <c r="E7" s="5"/>
    </row>
    <row r="8" spans="2:5">
      <c r="B8" s="5" t="s">
        <v>177</v>
      </c>
      <c r="C8" s="17">
        <v>0.14</v>
      </c>
      <c r="D8" s="5" t="s">
        <v>178</v>
      </c>
      <c r="E8" s="5"/>
    </row>
    <row r="9" spans="2:5">
      <c r="B9" s="5" t="s">
        <v>179</v>
      </c>
      <c r="C9" s="17">
        <v>0.02</v>
      </c>
      <c r="D9" s="5" t="s">
        <v>180</v>
      </c>
      <c r="E9" s="5"/>
    </row>
    <row r="10" spans="2:5">
      <c r="B10" s="5" t="s">
        <v>181</v>
      </c>
      <c r="C10" s="17">
        <v>0.2</v>
      </c>
      <c r="D10" s="5" t="s">
        <v>182</v>
      </c>
      <c r="E10" s="5"/>
    </row>
    <row r="11" spans="2:5">
      <c r="B11" s="5" t="s">
        <v>183</v>
      </c>
      <c r="C11" s="8">
        <v>12</v>
      </c>
      <c r="D11" s="5" t="s">
        <v>184</v>
      </c>
      <c r="E11" s="5"/>
    </row>
    <row r="12" spans="2:5">
      <c r="B12" s="5" t="s">
        <v>185</v>
      </c>
      <c r="C12" s="17">
        <v>0.0015</v>
      </c>
      <c r="D12" s="5" t="s">
        <v>186</v>
      </c>
      <c r="E12" s="5"/>
    </row>
    <row r="13" spans="2:5">
      <c r="B13" s="5" t="s">
        <v>187</v>
      </c>
      <c r="C13" s="17">
        <v>0.032</v>
      </c>
      <c r="D13" s="5" t="s">
        <v>188</v>
      </c>
      <c r="E13" s="5"/>
    </row>
    <row r="14" spans="2:5">
      <c r="B14" s="3" t="s">
        <v>189</v>
      </c>
      <c r="C14" s="3"/>
      <c r="D14" s="3"/>
      <c r="E14" s="3"/>
    </row>
    <row r="15" spans="2:5">
      <c r="B15" s="5" t="s">
        <v>190</v>
      </c>
      <c r="C15" s="15">
        <f>C6*C7</f>
        <v>0</v>
      </c>
      <c r="D15" s="5" t="s">
        <v>191</v>
      </c>
      <c r="E15" s="5"/>
    </row>
    <row r="16" spans="2:5">
      <c r="B16" s="5" t="s">
        <v>192</v>
      </c>
      <c r="C16" s="15">
        <f>C6*C8</f>
        <v>0</v>
      </c>
      <c r="D16" s="5" t="s">
        <v>193</v>
      </c>
      <c r="E16" s="5"/>
    </row>
    <row r="17" spans="2:5">
      <c r="B17" s="5" t="s">
        <v>194</v>
      </c>
      <c r="C17" s="15">
        <f>C15*C9</f>
        <v>0</v>
      </c>
      <c r="D17" s="5" t="s">
        <v>195</v>
      </c>
      <c r="E17" s="5"/>
    </row>
    <row r="18" spans="2:5">
      <c r="B18" s="5" t="s">
        <v>196</v>
      </c>
      <c r="C18" s="12">
        <f>C16+C17</f>
        <v>0</v>
      </c>
      <c r="D18" s="5" t="s">
        <v>197</v>
      </c>
      <c r="E18" s="5"/>
    </row>
    <row r="19" spans="2:5">
      <c r="B19" s="5" t="s">
        <v>198</v>
      </c>
      <c r="C19" s="12">
        <f>C15-C18</f>
        <v>0</v>
      </c>
      <c r="D19" s="5" t="s">
        <v>199</v>
      </c>
      <c r="E19" s="5"/>
    </row>
    <row r="20" spans="2:5">
      <c r="B20" s="5" t="s">
        <v>200</v>
      </c>
      <c r="C20" s="12">
        <f>C10 + (C15*C11)</f>
        <v>0</v>
      </c>
      <c r="D20" s="5" t="s">
        <v>201</v>
      </c>
      <c r="E20" s="5"/>
    </row>
    <row r="21" spans="2:5">
      <c r="B21" s="5" t="s">
        <v>202</v>
      </c>
      <c r="C21" s="12">
        <f>C15 - C20 + (C6*C12)</f>
        <v>0</v>
      </c>
      <c r="D21" s="5" t="s">
        <v>203</v>
      </c>
      <c r="E21" s="5"/>
    </row>
    <row r="22" spans="2:5">
      <c r="B22" s="5" t="s">
        <v>204</v>
      </c>
      <c r="C22" s="12">
        <f>C21-C19</f>
        <v>0</v>
      </c>
      <c r="D22" s="13" t="s">
        <v>205</v>
      </c>
      <c r="E22" s="13"/>
    </row>
    <row r="24" spans="2:5">
      <c r="B24" s="3" t="s">
        <v>206</v>
      </c>
      <c r="C24" s="3"/>
      <c r="D24" s="3"/>
      <c r="E24" s="3"/>
    </row>
    <row r="25" spans="2:5">
      <c r="B25" s="6" t="s">
        <v>207</v>
      </c>
      <c r="C25" s="7" t="s">
        <v>208</v>
      </c>
      <c r="D25" s="7" t="s">
        <v>209</v>
      </c>
      <c r="E25" s="7" t="s">
        <v>210</v>
      </c>
    </row>
    <row r="27" spans="2:5">
      <c r="B27" s="5" t="s">
        <v>211</v>
      </c>
      <c r="C27" s="15">
        <f>$C$6 + ($C$19/12)*1</f>
        <v>0</v>
      </c>
      <c r="D27" s="15">
        <f>$C$6 + ($C$21/12)*1</f>
        <v>0</v>
      </c>
      <c r="E27" s="12">
        <f>D27-C27</f>
        <v>0</v>
      </c>
    </row>
    <row r="28" spans="2:5">
      <c r="B28" s="5" t="s">
        <v>212</v>
      </c>
      <c r="C28" s="15">
        <f>$C$6 + ($C$19/12)*2</f>
        <v>0</v>
      </c>
      <c r="D28" s="15">
        <f>$C$6 + ($C$21/12)*2</f>
        <v>0</v>
      </c>
      <c r="E28" s="12">
        <f>D28-C28</f>
        <v>0</v>
      </c>
    </row>
    <row r="29" spans="2:5">
      <c r="B29" s="5" t="s">
        <v>213</v>
      </c>
      <c r="C29" s="15">
        <f>$C$6 + ($C$19/12)*3</f>
        <v>0</v>
      </c>
      <c r="D29" s="15">
        <f>$C$6 + ($C$21/12)*3</f>
        <v>0</v>
      </c>
      <c r="E29" s="12">
        <f>D29-C29</f>
        <v>0</v>
      </c>
    </row>
    <row r="30" spans="2:5">
      <c r="B30" s="5" t="s">
        <v>214</v>
      </c>
      <c r="C30" s="15">
        <f>$C$6 + ($C$19/12)*4</f>
        <v>0</v>
      </c>
      <c r="D30" s="15">
        <f>$C$6 + ($C$21/12)*4</f>
        <v>0</v>
      </c>
      <c r="E30" s="12">
        <f>D30-C30</f>
        <v>0</v>
      </c>
    </row>
    <row r="31" spans="2:5">
      <c r="B31" s="5" t="s">
        <v>215</v>
      </c>
      <c r="C31" s="15">
        <f>$C$6 + ($C$19/12)*5</f>
        <v>0</v>
      </c>
      <c r="D31" s="15">
        <f>$C$6 + ($C$21/12)*5</f>
        <v>0</v>
      </c>
      <c r="E31" s="12">
        <f>D31-C31</f>
        <v>0</v>
      </c>
    </row>
    <row r="32" spans="2:5">
      <c r="B32" s="5" t="s">
        <v>216</v>
      </c>
      <c r="C32" s="15">
        <f>$C$6 + ($C$19/12)*6</f>
        <v>0</v>
      </c>
      <c r="D32" s="15">
        <f>$C$6 + ($C$21/12)*6</f>
        <v>0</v>
      </c>
      <c r="E32" s="12">
        <f>D32-C32</f>
        <v>0</v>
      </c>
    </row>
    <row r="33" spans="2:5">
      <c r="B33" s="5" t="s">
        <v>217</v>
      </c>
      <c r="C33" s="15">
        <f>$C$6 + ($C$19/12)*7</f>
        <v>0</v>
      </c>
      <c r="D33" s="15">
        <f>$C$6 + ($C$21/12)*7</f>
        <v>0</v>
      </c>
      <c r="E33" s="12">
        <f>D33-C33</f>
        <v>0</v>
      </c>
    </row>
    <row r="34" spans="2:5">
      <c r="B34" s="5" t="s">
        <v>218</v>
      </c>
      <c r="C34" s="15">
        <f>$C$6 + ($C$19/12)*8</f>
        <v>0</v>
      </c>
      <c r="D34" s="15">
        <f>$C$6 + ($C$21/12)*8</f>
        <v>0</v>
      </c>
      <c r="E34" s="12">
        <f>D34-C34</f>
        <v>0</v>
      </c>
    </row>
    <row r="35" spans="2:5">
      <c r="B35" s="5" t="s">
        <v>219</v>
      </c>
      <c r="C35" s="15">
        <f>$C$6 + ($C$19/12)*9</f>
        <v>0</v>
      </c>
      <c r="D35" s="15">
        <f>$C$6 + ($C$21/12)*9</f>
        <v>0</v>
      </c>
      <c r="E35" s="12">
        <f>D35-C35</f>
        <v>0</v>
      </c>
    </row>
    <row r="36" spans="2:5">
      <c r="B36" s="5" t="s">
        <v>220</v>
      </c>
      <c r="C36" s="15">
        <f>$C$6 + ($C$19/12)*10</f>
        <v>0</v>
      </c>
      <c r="D36" s="15">
        <f>$C$6 + ($C$21/12)*10</f>
        <v>0</v>
      </c>
      <c r="E36" s="12">
        <f>D36-C36</f>
        <v>0</v>
      </c>
    </row>
    <row r="37" spans="2:5">
      <c r="B37" s="5" t="s">
        <v>221</v>
      </c>
      <c r="C37" s="15">
        <f>$C$6 + ($C$19/12)*11</f>
        <v>0</v>
      </c>
      <c r="D37" s="15">
        <f>$C$6 + ($C$21/12)*11</f>
        <v>0</v>
      </c>
      <c r="E37" s="12">
        <f>D37-C37</f>
        <v>0</v>
      </c>
    </row>
    <row r="38" spans="2:5">
      <c r="B38" s="5" t="s">
        <v>222</v>
      </c>
      <c r="C38" s="15">
        <f>$C$6 + ($C$19/12)*12</f>
        <v>0</v>
      </c>
      <c r="D38" s="15">
        <f>$C$6 + ($C$21/12)*12</f>
        <v>0</v>
      </c>
      <c r="E38" s="12">
        <f>D38-C38</f>
        <v>0</v>
      </c>
    </row>
  </sheetData>
  <mergeCells count="20">
    <mergeCell ref="B2:E2"/>
    <mergeCell ref="B3:E3"/>
    <mergeCell ref="B5:E5"/>
    <mergeCell ref="D7:E7"/>
    <mergeCell ref="D8:E8"/>
    <mergeCell ref="D9:E9"/>
    <mergeCell ref="D10:E10"/>
    <mergeCell ref="D11:E11"/>
    <mergeCell ref="D12:E12"/>
    <mergeCell ref="D13:E13"/>
    <mergeCell ref="B14:E14"/>
    <mergeCell ref="D15:E15"/>
    <mergeCell ref="D16:E16"/>
    <mergeCell ref="D17:E17"/>
    <mergeCell ref="D18:E18"/>
    <mergeCell ref="D19:E19"/>
    <mergeCell ref="D20:E20"/>
    <mergeCell ref="D21:E21"/>
    <mergeCell ref="D22:E22"/>
    <mergeCell ref="B24:E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0B981"/>
  </sheetPr>
  <dimension ref="B2:E21"/>
  <sheetViews>
    <sheetView workbookViewId="0"/>
  </sheetViews>
  <sheetFormatPr defaultRowHeight="15"/>
  <cols>
    <col min="1" max="1" width="3.7109375" customWidth="1"/>
    <col min="2" max="2" width="34.7109375" customWidth="1"/>
    <col min="3" max="3" width="18.7109375" customWidth="1"/>
    <col min="4" max="4" width="22.7109375" customWidth="1"/>
    <col min="5" max="5" width="25.7109375" customWidth="1"/>
  </cols>
  <sheetData>
    <row r="2" spans="2:5">
      <c r="B2" s="1" t="s">
        <v>223</v>
      </c>
      <c r="C2" s="1"/>
      <c r="D2" s="1"/>
      <c r="E2" s="1"/>
    </row>
    <row r="3" spans="2:5">
      <c r="B3" s="2" t="s">
        <v>224</v>
      </c>
      <c r="C3" s="2"/>
      <c r="D3" s="2"/>
      <c r="E3" s="2"/>
    </row>
    <row r="5" spans="2:5">
      <c r="B5" s="3" t="s">
        <v>225</v>
      </c>
      <c r="C5" s="3"/>
      <c r="D5" s="3"/>
      <c r="E5" s="3"/>
    </row>
    <row r="7" spans="2:5">
      <c r="B7" s="5" t="s">
        <v>226</v>
      </c>
      <c r="C7" s="8">
        <v>2500</v>
      </c>
      <c r="D7" s="5" t="s">
        <v>227</v>
      </c>
      <c r="E7" s="5"/>
    </row>
    <row r="8" spans="2:5">
      <c r="B8" s="5" t="s">
        <v>228</v>
      </c>
      <c r="C8" s="17">
        <v>0.045</v>
      </c>
      <c r="D8" s="5" t="s">
        <v>229</v>
      </c>
      <c r="E8" s="5"/>
    </row>
    <row r="9" spans="2:5">
      <c r="B9" s="5" t="s">
        <v>230</v>
      </c>
      <c r="C9" s="8">
        <v>15</v>
      </c>
      <c r="D9" s="5" t="s">
        <v>231</v>
      </c>
      <c r="E9" s="5"/>
    </row>
    <row r="10" spans="2:5">
      <c r="B10" s="5" t="s">
        <v>232</v>
      </c>
      <c r="C10" s="8">
        <v>1</v>
      </c>
      <c r="D10" s="5" t="s">
        <v>233</v>
      </c>
      <c r="E10" s="5"/>
    </row>
    <row r="11" spans="2:5">
      <c r="B11" s="5" t="s">
        <v>234</v>
      </c>
      <c r="C11" s="4" t="s">
        <v>235</v>
      </c>
      <c r="D11" s="5" t="s">
        <v>236</v>
      </c>
      <c r="E11" s="5"/>
    </row>
    <row r="12" spans="2:5">
      <c r="B12" s="5" t="s">
        <v>237</v>
      </c>
      <c r="C12" s="4" t="s">
        <v>238</v>
      </c>
      <c r="D12" s="5" t="s">
        <v>239</v>
      </c>
      <c r="E12" s="5"/>
    </row>
    <row r="13" spans="2:5">
      <c r="B13" s="3" t="s">
        <v>240</v>
      </c>
      <c r="C13" s="3"/>
      <c r="D13" s="3"/>
      <c r="E13" s="3"/>
    </row>
    <row r="14" spans="2:5">
      <c r="B14" s="6" t="s">
        <v>241</v>
      </c>
      <c r="C14" s="7" t="s">
        <v>242</v>
      </c>
      <c r="D14" s="7" t="s">
        <v>209</v>
      </c>
      <c r="E14" s="7" t="s">
        <v>243</v>
      </c>
    </row>
    <row r="16" spans="2:5">
      <c r="B16" s="5" t="s">
        <v>244</v>
      </c>
      <c r="C16" s="15">
        <f>C15*(1+0.02) - (12*$C$8)</f>
        <v>0</v>
      </c>
      <c r="D16" s="15">
        <f>D15*(1+$C$7) - (12*$C$9)</f>
        <v>0</v>
      </c>
      <c r="E16" s="12">
        <f>D16-C16</f>
        <v>0</v>
      </c>
    </row>
    <row r="17" spans="2:5">
      <c r="B17" s="5" t="s">
        <v>245</v>
      </c>
      <c r="C17" s="15">
        <f>C16*(1+0.02) - (12*$C$8)</f>
        <v>0</v>
      </c>
      <c r="D17" s="15">
        <f>D16*(1+$C$7) - (12*$C$9)</f>
        <v>0</v>
      </c>
      <c r="E17" s="12">
        <f>D17-C17</f>
        <v>0</v>
      </c>
    </row>
    <row r="18" spans="2:5">
      <c r="B18" s="5" t="s">
        <v>246</v>
      </c>
      <c r="C18" s="15">
        <f>C17*(1+0.02) - (12*$C$8)</f>
        <v>0</v>
      </c>
      <c r="D18" s="15">
        <f>D17*(1+$C$7) - (12*$C$9)</f>
        <v>0</v>
      </c>
      <c r="E18" s="12">
        <f>D18-C18</f>
        <v>0</v>
      </c>
    </row>
    <row r="19" spans="2:5">
      <c r="B19" s="3" t="s">
        <v>247</v>
      </c>
      <c r="C19" s="3"/>
      <c r="D19" s="3"/>
      <c r="E19" s="3"/>
    </row>
    <row r="20" spans="2:5">
      <c r="B20" s="5" t="s">
        <v>248</v>
      </c>
      <c r="C20" s="5"/>
      <c r="D20" s="5"/>
      <c r="E20" s="5"/>
    </row>
    <row r="21" spans="2:5">
      <c r="B21" s="5"/>
      <c r="C21" s="5"/>
      <c r="D21" s="5"/>
      <c r="E21" s="5"/>
    </row>
  </sheetData>
  <mergeCells count="12">
    <mergeCell ref="B2:E2"/>
    <mergeCell ref="B3:E3"/>
    <mergeCell ref="B5:E5"/>
    <mergeCell ref="D7:E7"/>
    <mergeCell ref="D8:E8"/>
    <mergeCell ref="D9:E9"/>
    <mergeCell ref="D10:E10"/>
    <mergeCell ref="D11:E11"/>
    <mergeCell ref="D12:E12"/>
    <mergeCell ref="B13:E13"/>
    <mergeCell ref="B19:E19"/>
    <mergeCell ref="B20:E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6B6D4"/>
  </sheetPr>
  <dimension ref="B2:E32"/>
  <sheetViews>
    <sheetView workbookViewId="0"/>
  </sheetViews>
  <sheetFormatPr defaultRowHeight="15"/>
  <cols>
    <col min="1" max="1" width="3.7109375" customWidth="1"/>
    <col min="2" max="2" width="34.7109375" customWidth="1"/>
    <col min="3" max="3" width="18.7109375" customWidth="1"/>
    <col min="4" max="4" width="22.7109375" customWidth="1"/>
    <col min="5" max="5" width="25.7109375" customWidth="1"/>
  </cols>
  <sheetData>
    <row r="2" spans="2:5">
      <c r="B2" s="1" t="s">
        <v>249</v>
      </c>
      <c r="C2" s="1"/>
      <c r="D2" s="1"/>
      <c r="E2" s="1"/>
    </row>
    <row r="3" spans="2:5">
      <c r="B3" s="2" t="s">
        <v>250</v>
      </c>
      <c r="C3" s="2"/>
      <c r="D3" s="2"/>
      <c r="E3" s="2"/>
    </row>
    <row r="5" spans="2:5">
      <c r="B5" s="3" t="s">
        <v>251</v>
      </c>
      <c r="C5" s="3"/>
      <c r="D5" s="3"/>
      <c r="E5" s="3"/>
    </row>
    <row r="7" spans="2:5">
      <c r="B7" s="5" t="s">
        <v>252</v>
      </c>
      <c r="C7" s="17">
        <v>0.3</v>
      </c>
      <c r="D7" s="5" t="s">
        <v>253</v>
      </c>
      <c r="E7" s="5"/>
    </row>
    <row r="8" spans="2:5">
      <c r="B8" s="5" t="s">
        <v>254</v>
      </c>
      <c r="C8" s="17">
        <v>0.25</v>
      </c>
      <c r="D8" s="5" t="s">
        <v>255</v>
      </c>
      <c r="E8" s="5"/>
    </row>
    <row r="9" spans="2:5">
      <c r="B9" s="5" t="s">
        <v>256</v>
      </c>
      <c r="C9" s="17">
        <v>0.25</v>
      </c>
      <c r="D9" s="5" t="s">
        <v>257</v>
      </c>
      <c r="E9" s="5"/>
    </row>
    <row r="10" spans="2:5">
      <c r="B10" s="5" t="s">
        <v>258</v>
      </c>
      <c r="C10" s="17">
        <v>0.2</v>
      </c>
      <c r="D10" s="5" t="s">
        <v>259</v>
      </c>
      <c r="E10" s="5"/>
    </row>
    <row r="11" spans="2:5">
      <c r="B11" s="5" t="s">
        <v>260</v>
      </c>
      <c r="C11" s="17">
        <v>0.85</v>
      </c>
      <c r="D11" s="5" t="s">
        <v>261</v>
      </c>
      <c r="E11" s="5"/>
    </row>
    <row r="12" spans="2:5">
      <c r="B12" s="5" t="s">
        <v>262</v>
      </c>
      <c r="C12" s="9">
        <v>18</v>
      </c>
      <c r="D12" s="5" t="s">
        <v>263</v>
      </c>
      <c r="E12" s="5"/>
    </row>
    <row r="13" spans="2:5">
      <c r="B13" s="5" t="s">
        <v>264</v>
      </c>
      <c r="C13" s="9">
        <v>28</v>
      </c>
      <c r="D13" s="5" t="s">
        <v>265</v>
      </c>
      <c r="E13" s="5"/>
    </row>
    <row r="14" spans="2:5">
      <c r="B14" s="5" t="s">
        <v>266</v>
      </c>
      <c r="C14" s="17">
        <v>0.012</v>
      </c>
      <c r="D14" s="5" t="s">
        <v>267</v>
      </c>
      <c r="E14" s="5"/>
    </row>
    <row r="15" spans="2:5">
      <c r="B15" s="5" t="s">
        <v>268</v>
      </c>
      <c r="C15" s="17">
        <v>0.15</v>
      </c>
      <c r="D15" s="5" t="s">
        <v>269</v>
      </c>
      <c r="E15" s="5"/>
    </row>
    <row r="16" spans="2:5">
      <c r="B16" s="3" t="s">
        <v>270</v>
      </c>
      <c r="C16" s="3"/>
      <c r="D16" s="3"/>
      <c r="E16" s="3"/>
    </row>
    <row r="17" spans="2:5">
      <c r="B17" s="5" t="s">
        <v>271</v>
      </c>
      <c r="C17" s="14">
        <f>MAX(0, 1 - (C11/300))</f>
        <v>0</v>
      </c>
      <c r="D17" s="5" t="s">
        <v>272</v>
      </c>
      <c r="E17" s="5"/>
    </row>
    <row r="18" spans="2:5">
      <c r="B18" s="5" t="s">
        <v>273</v>
      </c>
      <c r="C18" s="14">
        <f>MAX(0, 1 - (C12/1000))</f>
        <v>0</v>
      </c>
      <c r="D18" s="5" t="s">
        <v>274</v>
      </c>
      <c r="E18" s="5"/>
    </row>
    <row r="19" spans="2:5">
      <c r="B19" s="5" t="s">
        <v>275</v>
      </c>
      <c r="C19" s="14">
        <f>MAX(0, 1 - (C13/0.20))</f>
        <v>0</v>
      </c>
      <c r="D19" s="5" t="s">
        <v>276</v>
      </c>
      <c r="E19" s="5"/>
    </row>
    <row r="20" spans="2:5">
      <c r="B20" s="5" t="s">
        <v>277</v>
      </c>
      <c r="C20" s="14">
        <f>MAX(0, 1 - C14)</f>
        <v>0</v>
      </c>
      <c r="D20" s="5" t="s">
        <v>278</v>
      </c>
      <c r="E20" s="5"/>
    </row>
    <row r="21" spans="2:5">
      <c r="B21" s="3" t="s">
        <v>279</v>
      </c>
      <c r="C21" s="14">
        <f>(C6*C17) + (C7*C18) + (C8*C19) + (C9*C20)</f>
        <v>0</v>
      </c>
      <c r="D21" s="5" t="s">
        <v>280</v>
      </c>
      <c r="E21" s="5"/>
    </row>
    <row r="22" spans="2:5">
      <c r="B22" s="5" t="s">
        <v>281</v>
      </c>
      <c r="C22" s="13">
        <f>IF(C21&gt;=0.9, "PRISTINO (EXCELENTE)", IF(C21&gt;=C10, "ADEQUADO", "INTERDITADO"))</f>
        <v>0</v>
      </c>
      <c r="D22" s="5" t="s">
        <v>282</v>
      </c>
      <c r="E22" s="5"/>
    </row>
    <row r="23" spans="2:5">
      <c r="B23" s="5" t="s">
        <v>283</v>
      </c>
      <c r="C23" s="13">
        <f>IF(C21&gt;=C10, "ALVARÁ SANITÁRIO CONCEDIDO", "AUTO DE INTERDIÇÃO CAUTELAR")</f>
        <v>0</v>
      </c>
      <c r="D23" s="5" t="s">
        <v>284</v>
      </c>
      <c r="E23" s="5"/>
    </row>
    <row r="25" spans="2:5">
      <c r="B25" s="3" t="s">
        <v>285</v>
      </c>
      <c r="C25" s="3"/>
      <c r="D25" s="3"/>
      <c r="E25" s="3"/>
    </row>
    <row r="26" spans="2:5">
      <c r="B26" s="6" t="s">
        <v>286</v>
      </c>
      <c r="C26" s="7" t="s">
        <v>287</v>
      </c>
      <c r="D26" s="7" t="s">
        <v>288</v>
      </c>
      <c r="E26" s="7" t="s">
        <v>289</v>
      </c>
    </row>
    <row r="28" spans="2:5">
      <c r="B28" s="5" t="s">
        <v>290</v>
      </c>
      <c r="C28" s="5" t="s">
        <v>291</v>
      </c>
      <c r="D28" s="16">
        <v>0.9320000000000001</v>
      </c>
      <c r="E28" s="13" t="s">
        <v>292</v>
      </c>
    </row>
    <row r="29" spans="2:5">
      <c r="B29" s="5" t="s">
        <v>293</v>
      </c>
      <c r="C29" s="5" t="s">
        <v>294</v>
      </c>
      <c r="D29" s="16">
        <v>0.8100000000000001</v>
      </c>
      <c r="E29" s="11" t="s">
        <v>295</v>
      </c>
    </row>
    <row r="30" spans="2:5">
      <c r="B30" s="5" t="s">
        <v>296</v>
      </c>
      <c r="C30" s="5" t="s">
        <v>297</v>
      </c>
      <c r="D30" s="16">
        <v>0.58</v>
      </c>
      <c r="E30" s="11" t="s">
        <v>298</v>
      </c>
    </row>
    <row r="31" spans="2:5">
      <c r="B31" s="5" t="s">
        <v>299</v>
      </c>
      <c r="C31" s="5" t="s">
        <v>300</v>
      </c>
      <c r="D31" s="16">
        <v>0.44</v>
      </c>
      <c r="E31" s="11" t="s">
        <v>298</v>
      </c>
    </row>
    <row r="32" spans="2:5">
      <c r="B32" s="5" t="s">
        <v>301</v>
      </c>
      <c r="C32" s="5" t="s">
        <v>302</v>
      </c>
      <c r="D32" s="16">
        <v>0.12</v>
      </c>
      <c r="E32" s="11" t="s">
        <v>303</v>
      </c>
    </row>
  </sheetData>
  <mergeCells count="21">
    <mergeCell ref="B2:E2"/>
    <mergeCell ref="B3:E3"/>
    <mergeCell ref="B5:E5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B16:E16"/>
    <mergeCell ref="D17:E17"/>
    <mergeCell ref="D18:E18"/>
    <mergeCell ref="D19:E19"/>
    <mergeCell ref="D20:E20"/>
    <mergeCell ref="D21:E21"/>
    <mergeCell ref="D22:E22"/>
    <mergeCell ref="D23:E23"/>
    <mergeCell ref="B25:E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59669"/>
  </sheetPr>
  <dimension ref="B2:E25"/>
  <sheetViews>
    <sheetView workbookViewId="0"/>
  </sheetViews>
  <sheetFormatPr defaultRowHeight="15"/>
  <cols>
    <col min="1" max="1" width="3.7109375" customWidth="1"/>
    <col min="2" max="2" width="32.7109375" customWidth="1"/>
    <col min="3" max="3" width="18.7109375" customWidth="1"/>
    <col min="4" max="4" width="24.7109375" customWidth="1"/>
    <col min="5" max="5" width="25.7109375" customWidth="1"/>
  </cols>
  <sheetData>
    <row r="2" spans="2:5">
      <c r="B2" s="1" t="s">
        <v>304</v>
      </c>
      <c r="C2" s="1"/>
      <c r="D2" s="1"/>
      <c r="E2" s="1"/>
    </row>
    <row r="3" spans="2:5">
      <c r="B3" s="2" t="s">
        <v>305</v>
      </c>
      <c r="C3" s="2"/>
      <c r="D3" s="2"/>
      <c r="E3" s="2"/>
    </row>
    <row r="5" spans="2:5">
      <c r="B5" s="3" t="s">
        <v>306</v>
      </c>
      <c r="C5" s="3"/>
      <c r="D5" s="3"/>
      <c r="E5" s="3"/>
    </row>
    <row r="6" spans="2:5">
      <c r="B6" s="6" t="s">
        <v>307</v>
      </c>
      <c r="C6" s="7" t="s">
        <v>308</v>
      </c>
      <c r="D6" s="7" t="s">
        <v>309</v>
      </c>
      <c r="E6" s="7" t="s">
        <v>310</v>
      </c>
    </row>
    <row r="8" spans="2:5">
      <c r="B8" s="5" t="s">
        <v>311</v>
      </c>
      <c r="C8" s="5" t="s">
        <v>312</v>
      </c>
      <c r="D8" s="11" t="s">
        <v>313</v>
      </c>
      <c r="E8" s="12">
        <f>'1_FlashCrash_StaleOracle'!C19</f>
        <v>0</v>
      </c>
    </row>
    <row r="9" spans="2:5">
      <c r="B9" s="5" t="s">
        <v>314</v>
      </c>
      <c r="C9" s="5" t="s">
        <v>315</v>
      </c>
      <c r="D9" s="11" t="s">
        <v>316</v>
      </c>
      <c r="E9" s="12">
        <f>'2_AMM_Dislocation_DEX'!C20</f>
        <v>0</v>
      </c>
    </row>
    <row r="10" spans="2:5">
      <c r="B10" s="5" t="s">
        <v>317</v>
      </c>
      <c r="C10" s="5" t="s">
        <v>318</v>
      </c>
      <c r="D10" s="11" t="s">
        <v>319</v>
      </c>
      <c r="E10" s="12">
        <f>'3_DAO_Treasury_Drain'!C18</f>
        <v>0</v>
      </c>
    </row>
    <row r="11" spans="2:5">
      <c r="B11" s="5" t="s">
        <v>320</v>
      </c>
      <c r="C11" s="5" t="s">
        <v>321</v>
      </c>
      <c r="D11" s="13" t="s">
        <v>322</v>
      </c>
      <c r="E11" s="12">
        <f>'4_ETF_B2B_PIML_vs_HedgeFund'!C22</f>
        <v>0</v>
      </c>
    </row>
    <row r="12" spans="2:5">
      <c r="B12" s="5" t="s">
        <v>323</v>
      </c>
      <c r="C12" s="5" t="s">
        <v>324</v>
      </c>
      <c r="D12" s="13" t="s">
        <v>325</v>
      </c>
      <c r="E12" s="12">
        <f>'5_Poupanca_B2C_Emergencia'!E17</f>
        <v>0</v>
      </c>
    </row>
    <row r="13" spans="2:5">
      <c r="B13" s="5" t="s">
        <v>326</v>
      </c>
      <c r="C13" s="5" t="s">
        <v>327</v>
      </c>
      <c r="D13" s="13" t="s">
        <v>292</v>
      </c>
      <c r="E13" s="12">
        <v>1000</v>
      </c>
    </row>
    <row r="14" spans="2:5">
      <c r="B14" s="3" t="s">
        <v>328</v>
      </c>
      <c r="C14" s="3"/>
      <c r="D14" s="3"/>
      <c r="E14" s="3"/>
    </row>
    <row r="15" spans="2:5">
      <c r="B15" s="5" t="s">
        <v>329</v>
      </c>
      <c r="C15" s="12">
        <f>SUM(E8:E10)</f>
        <v>0</v>
      </c>
      <c r="D15" s="13" t="s">
        <v>330</v>
      </c>
      <c r="E15" s="13"/>
    </row>
    <row r="16" spans="2:5">
      <c r="B16" s="5" t="s">
        <v>331</v>
      </c>
      <c r="C16" s="12">
        <f>'4_ETF_B2B_PIML_vs_HedgeFund'!C18 - '4_ETF_B2B_PIML_vs_HedgeFund'!C20</f>
        <v>0</v>
      </c>
      <c r="D16" s="13" t="s">
        <v>332</v>
      </c>
      <c r="E16" s="13"/>
    </row>
    <row r="17" spans="2:5">
      <c r="B17" s="5" t="s">
        <v>333</v>
      </c>
      <c r="C17" s="14">
        <v>0</v>
      </c>
      <c r="D17" s="13" t="s">
        <v>334</v>
      </c>
      <c r="E17" s="13"/>
    </row>
    <row r="18" spans="2:5">
      <c r="B18" s="5" t="s">
        <v>335</v>
      </c>
      <c r="C18" s="5" t="s">
        <v>336</v>
      </c>
      <c r="D18" s="13" t="s">
        <v>337</v>
      </c>
      <c r="E18" s="13"/>
    </row>
    <row r="20" spans="2:5">
      <c r="B20" s="3" t="s">
        <v>338</v>
      </c>
      <c r="C20" s="3"/>
      <c r="D20" s="3"/>
      <c r="E20" s="3"/>
    </row>
    <row r="21" spans="2:5">
      <c r="B21" s="5" t="s">
        <v>339</v>
      </c>
      <c r="C21" s="5"/>
      <c r="D21" s="5"/>
      <c r="E21" s="5"/>
    </row>
    <row r="22" spans="2:5">
      <c r="B22" s="5"/>
      <c r="C22" s="5"/>
      <c r="D22" s="5"/>
      <c r="E22" s="5"/>
    </row>
    <row r="23" spans="2:5">
      <c r="B23" s="5"/>
      <c r="C23" s="5"/>
      <c r="D23" s="5"/>
      <c r="E23" s="5"/>
    </row>
    <row r="25" spans="2:5">
      <c r="B25" s="6" t="s">
        <v>340</v>
      </c>
      <c r="C25" s="18" t="s">
        <v>341</v>
      </c>
      <c r="D25" s="18"/>
      <c r="E25" s="18"/>
    </row>
  </sheetData>
  <mergeCells count="11">
    <mergeCell ref="B2:E2"/>
    <mergeCell ref="B3:E3"/>
    <mergeCell ref="B5:E5"/>
    <mergeCell ref="B14:E14"/>
    <mergeCell ref="D15:E15"/>
    <mergeCell ref="D16:E16"/>
    <mergeCell ref="D17:E17"/>
    <mergeCell ref="D18:E18"/>
    <mergeCell ref="B20:E20"/>
    <mergeCell ref="B21:E23"/>
    <mergeCell ref="C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0_Intro_&amp;_Arquitetura</vt:lpstr>
      <vt:lpstr>1_FlashCrash_StaleOracle</vt:lpstr>
      <vt:lpstr>2_AMM_Dislocation_DEX</vt:lpstr>
      <vt:lpstr>3_DAO_Treasury_Drain</vt:lpstr>
      <vt:lpstr>4_ETF_B2B_PIML_vs_HedgeFund</vt:lpstr>
      <vt:lpstr>5_Poupanca_B2C_Emergencia</vt:lpstr>
      <vt:lpstr>6_Vigilancia_Sanitaria</vt:lpstr>
      <vt:lpstr>7_Resultados_&amp;_Conclusao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2026-10-16T16:07:58Z</dcterms:created>
  <dcterms:modified xsi:type="dcterms:W3CDTF">2026-10-16T16:07:58Z</dcterms:modified>
</cp:coreProperties>
</file>